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קורס אקסל\"/>
    </mc:Choice>
  </mc:AlternateContent>
  <xr:revisionPtr revIDLastSave="0" documentId="8_{D06F257B-19E1-4263-9951-B9B65BA098ED}" xr6:coauthVersionLast="47" xr6:coauthVersionMax="47" xr10:uidLastSave="{00000000-0000-0000-0000-000000000000}"/>
  <bookViews>
    <workbookView xWindow="-110" yWindow="-110" windowWidth="19420" windowHeight="10420" activeTab="2" xr2:uid="{793FE945-5477-4CE4-AEF5-AFAEE9D2DE9E}"/>
  </bookViews>
  <sheets>
    <sheet name="הזמנות" sheetId="1" r:id="rId1"/>
    <sheet name="מלאי תכשיטים" sheetId="2" r:id="rId2"/>
    <sheet name="משלוחים חודש יוני" sheetId="3" r:id="rId3"/>
    <sheet name="טבלת ציר" sheetId="4" r:id="rId4"/>
  </sheets>
  <externalReferences>
    <externalReference r:id="rId5"/>
  </externalReferenc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3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H39" i="3"/>
  <c r="I18" i="3"/>
  <c r="D18" i="3"/>
  <c r="F18" i="3" s="1"/>
  <c r="G18" i="3" s="1"/>
  <c r="F17" i="3"/>
  <c r="G17" i="3" s="1"/>
  <c r="D17" i="3"/>
  <c r="I17" i="3" s="1"/>
  <c r="I16" i="3"/>
  <c r="D16" i="3"/>
  <c r="F16" i="3" s="1"/>
  <c r="G16" i="3" s="1"/>
  <c r="F15" i="3"/>
  <c r="G15" i="3" s="1"/>
  <c r="D15" i="3"/>
  <c r="I15" i="3" s="1"/>
  <c r="I14" i="3"/>
  <c r="D14" i="3"/>
  <c r="F14" i="3" s="1"/>
  <c r="G14" i="3" s="1"/>
  <c r="F13" i="3"/>
  <c r="G13" i="3" s="1"/>
  <c r="D13" i="3"/>
  <c r="I13" i="3" s="1"/>
  <c r="I12" i="3"/>
  <c r="D12" i="3"/>
  <c r="F12" i="3" s="1"/>
  <c r="G12" i="3" s="1"/>
  <c r="F11" i="3"/>
  <c r="G11" i="3" s="1"/>
  <c r="D11" i="3"/>
  <c r="I11" i="3" s="1"/>
  <c r="I10" i="3"/>
  <c r="D10" i="3"/>
  <c r="F10" i="3" s="1"/>
  <c r="G10" i="3" s="1"/>
  <c r="F9" i="3"/>
  <c r="G9" i="3" s="1"/>
  <c r="D9" i="3"/>
  <c r="I9" i="3" s="1"/>
  <c r="I8" i="3"/>
  <c r="D8" i="3"/>
  <c r="F8" i="3" s="1"/>
  <c r="G8" i="3" s="1"/>
  <c r="F7" i="3"/>
  <c r="G7" i="3" s="1"/>
  <c r="D7" i="3"/>
  <c r="I7" i="3" s="1"/>
  <c r="I6" i="3"/>
  <c r="D6" i="3"/>
  <c r="F6" i="3" s="1"/>
  <c r="G6" i="3" s="1"/>
  <c r="F5" i="3"/>
  <c r="G5" i="3" s="1"/>
  <c r="D5" i="3"/>
  <c r="I5" i="3" s="1"/>
  <c r="I4" i="3"/>
  <c r="D4" i="3"/>
  <c r="F4" i="3" s="1"/>
  <c r="G4" i="3" s="1"/>
  <c r="F3" i="3"/>
  <c r="G3" i="3" s="1"/>
  <c r="D3" i="3"/>
  <c r="I3" i="3" s="1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K3" i="2"/>
  <c r="A3" i="2"/>
  <c r="B34" i="1"/>
  <c r="B26" i="1"/>
  <c r="I19" i="1"/>
  <c r="K19" i="1" s="1"/>
  <c r="H19" i="1"/>
  <c r="G19" i="1"/>
  <c r="F19" i="1"/>
  <c r="J18" i="1"/>
  <c r="I18" i="1"/>
  <c r="K18" i="1" s="1"/>
  <c r="H18" i="1"/>
  <c r="G18" i="1"/>
  <c r="F18" i="1"/>
  <c r="K17" i="1"/>
  <c r="J17" i="1"/>
  <c r="L17" i="1" s="1" a="1"/>
  <c r="L17" i="1" s="1"/>
  <c r="I17" i="1"/>
  <c r="H17" i="1"/>
  <c r="G17" i="1"/>
  <c r="F17" i="1"/>
  <c r="I16" i="1"/>
  <c r="K16" i="1" s="1"/>
  <c r="H16" i="1"/>
  <c r="G16" i="1"/>
  <c r="F16" i="1"/>
  <c r="I15" i="1"/>
  <c r="K15" i="1" s="1"/>
  <c r="H15" i="1"/>
  <c r="G15" i="1"/>
  <c r="F15" i="1"/>
  <c r="K14" i="1"/>
  <c r="J14" i="1"/>
  <c r="L14" i="1" s="1" a="1"/>
  <c r="L14" i="1" s="1"/>
  <c r="I14" i="1"/>
  <c r="H14" i="1"/>
  <c r="G14" i="1"/>
  <c r="F14" i="1"/>
  <c r="K13" i="1"/>
  <c r="L13" i="1" s="1" a="1"/>
  <c r="L13" i="1" s="1"/>
  <c r="J13" i="1"/>
  <c r="I13" i="1"/>
  <c r="H13" i="1"/>
  <c r="G13" i="1"/>
  <c r="F13" i="1"/>
  <c r="I12" i="1"/>
  <c r="K12" i="1" s="1"/>
  <c r="H12" i="1"/>
  <c r="G12" i="1"/>
  <c r="F12" i="1"/>
  <c r="I11" i="1"/>
  <c r="K11" i="1" s="1"/>
  <c r="H11" i="1"/>
  <c r="G11" i="1"/>
  <c r="F11" i="1"/>
  <c r="K10" i="1"/>
  <c r="J10" i="1"/>
  <c r="L10" i="1" s="1" a="1"/>
  <c r="L10" i="1" s="1"/>
  <c r="I10" i="1"/>
  <c r="H10" i="1"/>
  <c r="G10" i="1"/>
  <c r="F10" i="1"/>
  <c r="K9" i="1"/>
  <c r="L9" i="1" s="1" a="1"/>
  <c r="L9" i="1" s="1"/>
  <c r="J9" i="1"/>
  <c r="I9" i="1"/>
  <c r="H9" i="1"/>
  <c r="G9" i="1"/>
  <c r="F9" i="1"/>
  <c r="I8" i="1"/>
  <c r="K8" i="1" s="1"/>
  <c r="H8" i="1"/>
  <c r="G8" i="1"/>
  <c r="F8" i="1"/>
  <c r="I7" i="1"/>
  <c r="K7" i="1" s="1"/>
  <c r="H7" i="1"/>
  <c r="G7" i="1"/>
  <c r="F7" i="1"/>
  <c r="K6" i="1"/>
  <c r="J6" i="1"/>
  <c r="L6" i="1" s="1" a="1"/>
  <c r="L6" i="1" s="1"/>
  <c r="I6" i="1"/>
  <c r="H6" i="1"/>
  <c r="G6" i="1"/>
  <c r="F6" i="1"/>
  <c r="K5" i="1"/>
  <c r="L5" i="1" s="1" a="1"/>
  <c r="L5" i="1" s="1"/>
  <c r="J5" i="1"/>
  <c r="I5" i="1"/>
  <c r="H5" i="1"/>
  <c r="G5" i="1"/>
  <c r="F5" i="1"/>
  <c r="I4" i="1"/>
  <c r="K4" i="1" s="1"/>
  <c r="H4" i="1"/>
  <c r="G4" i="1"/>
  <c r="F4" i="1"/>
  <c r="Q3" i="1"/>
  <c r="C18" i="1" s="1"/>
  <c r="K3" i="1"/>
  <c r="J3" i="1"/>
  <c r="L3" i="1" s="1" a="1"/>
  <c r="L3" i="1" s="1"/>
  <c r="I3" i="1"/>
  <c r="B43" i="1" s="1"/>
  <c r="H3" i="1"/>
  <c r="G3" i="1"/>
  <c r="F3" i="1"/>
  <c r="C54" i="3" l="1"/>
  <c r="C53" i="3"/>
  <c r="C51" i="3"/>
  <c r="C52" i="3"/>
  <c r="C6" i="1"/>
  <c r="C9" i="1"/>
  <c r="C5" i="1"/>
  <c r="C8" i="1"/>
  <c r="C4" i="1"/>
  <c r="C7" i="1"/>
  <c r="C3" i="1"/>
  <c r="C10" i="1"/>
  <c r="B42" i="1"/>
  <c r="B32" i="1"/>
  <c r="L18" i="1" a="1"/>
  <c r="L18" i="1" s="1"/>
  <c r="J19" i="1"/>
  <c r="L19" i="1" s="1" a="1"/>
  <c r="L19" i="1" s="1"/>
  <c r="C11" i="1"/>
  <c r="C15" i="1"/>
  <c r="C19" i="1"/>
  <c r="J7" i="1"/>
  <c r="L7" i="1" s="1" a="1"/>
  <c r="L7" i="1" s="1"/>
  <c r="B40" i="1" s="1"/>
  <c r="J11" i="1"/>
  <c r="L11" i="1" s="1" a="1"/>
  <c r="L11" i="1" s="1"/>
  <c r="C12" i="1"/>
  <c r="J15" i="1"/>
  <c r="L15" i="1" s="1" a="1"/>
  <c r="L15" i="1" s="1"/>
  <c r="B25" i="1" s="1"/>
  <c r="C16" i="1"/>
  <c r="J4" i="1"/>
  <c r="L4" i="1" s="1" a="1"/>
  <c r="L4" i="1" s="1"/>
  <c r="B44" i="1" s="1"/>
  <c r="J8" i="1"/>
  <c r="L8" i="1" s="1" a="1"/>
  <c r="L8" i="1" s="1"/>
  <c r="J12" i="1"/>
  <c r="L12" i="1" s="1" a="1"/>
  <c r="L12" i="1" s="1"/>
  <c r="C13" i="1"/>
  <c r="J16" i="1"/>
  <c r="L16" i="1" s="1" a="1"/>
  <c r="L16" i="1" s="1"/>
  <c r="C17" i="1"/>
  <c r="C14" i="1"/>
  <c r="B33" i="1" l="1"/>
  <c r="B41" i="1"/>
  <c r="B2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<sst xmlns="http://schemas.openxmlformats.org/spreadsheetml/2006/main" count="449" uniqueCount="216">
  <si>
    <t>טבלת ניהול הזמנות</t>
  </si>
  <si>
    <t>שם מלא</t>
  </si>
  <si>
    <t>תאריך לידה</t>
  </si>
  <si>
    <t>גיל</t>
  </si>
  <si>
    <t>מין</t>
  </si>
  <si>
    <t>סימון</t>
  </si>
  <si>
    <t>קרטורה</t>
  </si>
  <si>
    <t>סוג תכשיט</t>
  </si>
  <si>
    <t>צבע</t>
  </si>
  <si>
    <t>מחיר</t>
  </si>
  <si>
    <t>מחיר+מע"מ</t>
  </si>
  <si>
    <t xml:space="preserve"> הנחה</t>
  </si>
  <si>
    <t>מחיר סופי</t>
  </si>
  <si>
    <t>טל מורד</t>
  </si>
  <si>
    <t>11/06/2000</t>
  </si>
  <si>
    <t>ז</t>
  </si>
  <si>
    <t>EP14</t>
  </si>
  <si>
    <t>תאריך של היום</t>
  </si>
  <si>
    <t>בן אל תבורי</t>
  </si>
  <si>
    <t>22/12/1991</t>
  </si>
  <si>
    <t>RW14</t>
  </si>
  <si>
    <t>ימים בשנה</t>
  </si>
  <si>
    <t>מאיה קיי</t>
  </si>
  <si>
    <t>29/07/2002</t>
  </si>
  <si>
    <t>נ</t>
  </si>
  <si>
    <t>RY18</t>
  </si>
  <si>
    <t>ליאל אלי</t>
  </si>
  <si>
    <t>22/11/1996</t>
  </si>
  <si>
    <t>NP14</t>
  </si>
  <si>
    <t>טיילור סוויפט</t>
  </si>
  <si>
    <t>13/12/1989</t>
  </si>
  <si>
    <t>BW18</t>
  </si>
  <si>
    <t>ציפי שביט</t>
  </si>
  <si>
    <t>NW14</t>
  </si>
  <si>
    <t>חנה לסלאו</t>
  </si>
  <si>
    <t>14/06/1953</t>
  </si>
  <si>
    <t>אושר כהן</t>
  </si>
  <si>
    <t>15/12/1998</t>
  </si>
  <si>
    <t>BY18</t>
  </si>
  <si>
    <t>אייל גולן</t>
  </si>
  <si>
    <t>NY14</t>
  </si>
  <si>
    <t>משה פרץ</t>
  </si>
  <si>
    <t>NY24</t>
  </si>
  <si>
    <t>קובי פרץ</t>
  </si>
  <si>
    <t>RW18</t>
  </si>
  <si>
    <t>עומר אדם</t>
  </si>
  <si>
    <t>דודו אהרון</t>
  </si>
  <si>
    <t>RP14</t>
  </si>
  <si>
    <t>מושיקו מור</t>
  </si>
  <si>
    <t>BP18</t>
  </si>
  <si>
    <t>פאר טסי</t>
  </si>
  <si>
    <t>EY24</t>
  </si>
  <si>
    <t>איתי לוי</t>
  </si>
  <si>
    <t>RW24</t>
  </si>
  <si>
    <t>מרגול צנעני</t>
  </si>
  <si>
    <t>סכומים</t>
  </si>
  <si>
    <t>הנחה</t>
  </si>
  <si>
    <t>הזמנות לפי גברים:</t>
  </si>
  <si>
    <t>סיכום הזמנות לגברים</t>
  </si>
  <si>
    <t>ממוצע</t>
  </si>
  <si>
    <t>AverageIF</t>
  </si>
  <si>
    <t>סכום</t>
  </si>
  <si>
    <t>SumIF</t>
  </si>
  <si>
    <t>כמות</t>
  </si>
  <si>
    <t>CountIF</t>
  </si>
  <si>
    <t>הזמנות לפי נשים:</t>
  </si>
  <si>
    <t>סיכום הזמנות לנשים</t>
  </si>
  <si>
    <t>COUNTIF</t>
  </si>
  <si>
    <t>סיכום הזמנות כולל:</t>
  </si>
  <si>
    <t>ממוצע של ההזמנות בחנות</t>
  </si>
  <si>
    <t>MIN</t>
  </si>
  <si>
    <t>ההזמנה בעלת המחיר הנמוכה ביותר</t>
  </si>
  <si>
    <t>MAX</t>
  </si>
  <si>
    <t>ההזמנה בעלת המחיר הגבוהה ביותר</t>
  </si>
  <si>
    <t>כמות הזמנות בחנות</t>
  </si>
  <si>
    <t>סכום כל ההזמנות בחנות</t>
  </si>
  <si>
    <t>סכום כולל</t>
  </si>
  <si>
    <t>1/04/1947</t>
  </si>
  <si>
    <t>מלאי תכשיטים</t>
  </si>
  <si>
    <t>קוד פריט</t>
  </si>
  <si>
    <t>פריט</t>
  </si>
  <si>
    <t>קראט</t>
  </si>
  <si>
    <t>קטגוריה</t>
  </si>
  <si>
    <t>כמות במלאי</t>
  </si>
  <si>
    <t>שווי מוצרים בחנות:</t>
  </si>
  <si>
    <t>עגילים 14K ורוד</t>
  </si>
  <si>
    <t>14 קראט</t>
  </si>
  <si>
    <t>ורוד (P)</t>
  </si>
  <si>
    <t>עגילים (E)</t>
  </si>
  <si>
    <t>EW14</t>
  </si>
  <si>
    <t>עגילים 14K לבן</t>
  </si>
  <si>
    <t>לבן (W)</t>
  </si>
  <si>
    <t>עגילים 24K צהוב</t>
  </si>
  <si>
    <t>24 קראט</t>
  </si>
  <si>
    <t>צהוב (Y)</t>
  </si>
  <si>
    <t>EW18</t>
  </si>
  <si>
    <t>עגילים 18K לבן</t>
  </si>
  <si>
    <t>18 קראט</t>
  </si>
  <si>
    <t>EP18</t>
  </si>
  <si>
    <t>עגילים 18K ורוד</t>
  </si>
  <si>
    <t>EY14</t>
  </si>
  <si>
    <t>עגילים 14K צהוב</t>
  </si>
  <si>
    <t>EY18</t>
  </si>
  <si>
    <t>עגילים 18K צהוב</t>
  </si>
  <si>
    <t>טבעת 14K ורוד</t>
  </si>
  <si>
    <t>טבעת (R)</t>
  </si>
  <si>
    <t>טבעת 14K לבן</t>
  </si>
  <si>
    <t>טבעת 18K לבן</t>
  </si>
  <si>
    <t>טבעת 24K לבן</t>
  </si>
  <si>
    <t>RY14</t>
  </si>
  <si>
    <t>טבעת 14K צהוב</t>
  </si>
  <si>
    <t>טבעת 18K צהוב</t>
  </si>
  <si>
    <t>BY14</t>
  </si>
  <si>
    <t>צמיד 14K צהוב</t>
  </si>
  <si>
    <t>צמיד (B)</t>
  </si>
  <si>
    <t>BW24</t>
  </si>
  <si>
    <t>צמיד 24K לבן</t>
  </si>
  <si>
    <t>BY24</t>
  </si>
  <si>
    <t>צמיד 24K צהוב</t>
  </si>
  <si>
    <t>צמיד 18K ורוד</t>
  </si>
  <si>
    <t>צמיד 18K לבן</t>
  </si>
  <si>
    <t>צמיד 18K צהוב</t>
  </si>
  <si>
    <t>שרשרת 14K ורוד</t>
  </si>
  <si>
    <t>שרשרת (N)</t>
  </si>
  <si>
    <t>שרשרת 24K צהוב</t>
  </si>
  <si>
    <t>NY18</t>
  </si>
  <si>
    <t>שרשרת 18K צהוב</t>
  </si>
  <si>
    <t>שרשרת 14K לבן</t>
  </si>
  <si>
    <t>שרשרת 14K צהוב</t>
  </si>
  <si>
    <t>סימון תכשיטים</t>
  </si>
  <si>
    <t>סימון צבעים</t>
  </si>
  <si>
    <t>סימון קראט</t>
  </si>
  <si>
    <t>ריכוז משלוחים לחודש יוני</t>
  </si>
  <si>
    <t xml:space="preserve">קוד משלוח </t>
  </si>
  <si>
    <t>איזור שילוח</t>
  </si>
  <si>
    <t>כתובת</t>
  </si>
  <si>
    <t>עלות משלוח</t>
  </si>
  <si>
    <t>מחיר כולל משלוח</t>
  </si>
  <si>
    <t>תאריך הזמנה</t>
  </si>
  <si>
    <t xml:space="preserve">תאריך משלוח </t>
  </si>
  <si>
    <t>יום המשלוח המשוער</t>
  </si>
  <si>
    <t>מספר שבוע</t>
  </si>
  <si>
    <t>סינון מתקדם:</t>
  </si>
  <si>
    <t>כל המשלוחים לתל אביב מעל 2000 ₪</t>
  </si>
  <si>
    <t>קותי סבג</t>
  </si>
  <si>
    <t>אבשלום 12, באר שבע</t>
  </si>
  <si>
    <t>שון בלאיש</t>
  </si>
  <si>
    <t>ביאליק 12, באר שבע</t>
  </si>
  <si>
    <t>חיים כהן</t>
  </si>
  <si>
    <t>המתמיד 19, תל אביב</t>
  </si>
  <si>
    <t>סתיו קצין</t>
  </si>
  <si>
    <t>תל אביב</t>
  </si>
  <si>
    <t>המלך ג'ורג' 8, תל אביב</t>
  </si>
  <si>
    <t>יום שלישי</t>
  </si>
  <si>
    <t>נועה קירל</t>
  </si>
  <si>
    <t>רוטשילד 33, תל אביב</t>
  </si>
  <si>
    <t>עידן יניב</t>
  </si>
  <si>
    <t>רוטשילד 12, תל אביב</t>
  </si>
  <si>
    <t>שחר חסון</t>
  </si>
  <si>
    <t>אבן גבירול 15, תל אביב</t>
  </si>
  <si>
    <t>רועי לוי</t>
  </si>
  <si>
    <t>העפרוני 32, עכו</t>
  </si>
  <si>
    <t>עדן גולן</t>
  </si>
  <si>
    <t>דרך נמיר 21, תל אביב</t>
  </si>
  <si>
    <t>ניב סעדה</t>
  </si>
  <si>
    <t>רוממה, חיפה</t>
  </si>
  <si>
    <t>ניר דוידוביץ</t>
  </si>
  <si>
    <t>הגעתון 12, נהריה</t>
  </si>
  <si>
    <t>שירה מרגלית</t>
  </si>
  <si>
    <t>אחי אילת 12, קרית חיים</t>
  </si>
  <si>
    <t>עדי הימלבלוי</t>
  </si>
  <si>
    <t>אלקלעי 8, נתניה</t>
  </si>
  <si>
    <t>יהודה לוי</t>
  </si>
  <si>
    <t>שבי ציון 10, רמת השרון</t>
  </si>
  <si>
    <t>אייל שני</t>
  </si>
  <si>
    <t>צבי הורוביץ 15, רחובות</t>
  </si>
  <si>
    <t>אורי חזקיה</t>
  </si>
  <si>
    <t>ניסים 22, גדרה</t>
  </si>
  <si>
    <t>חלוקת אזורים</t>
  </si>
  <si>
    <t>זמן משלוח ממוצע (ימים)</t>
  </si>
  <si>
    <t>עליות משלוח לפי אזורים:</t>
  </si>
  <si>
    <t>עכו</t>
  </si>
  <si>
    <t>צפון</t>
  </si>
  <si>
    <t>נהריה</t>
  </si>
  <si>
    <t>דרום</t>
  </si>
  <si>
    <t>קרית חיים</t>
  </si>
  <si>
    <t>קרית ביאליק</t>
  </si>
  <si>
    <t>שפלה</t>
  </si>
  <si>
    <t>חיפה</t>
  </si>
  <si>
    <t>מרכז</t>
  </si>
  <si>
    <t>עתלית</t>
  </si>
  <si>
    <t>שלומי</t>
  </si>
  <si>
    <t>הרצליה</t>
  </si>
  <si>
    <t>נתניה</t>
  </si>
  <si>
    <t>רמת השרון</t>
  </si>
  <si>
    <t>פתח תקווה</t>
  </si>
  <si>
    <t>רעננה</t>
  </si>
  <si>
    <t>ראשון לציון</t>
  </si>
  <si>
    <t>גדרה</t>
  </si>
  <si>
    <t>רמלה</t>
  </si>
  <si>
    <t>יבנה</t>
  </si>
  <si>
    <t>רחובות</t>
  </si>
  <si>
    <t>תאריך סוף חודש</t>
  </si>
  <si>
    <t>באר שבע</t>
  </si>
  <si>
    <t>שדרות</t>
  </si>
  <si>
    <t>אשקלון</t>
  </si>
  <si>
    <t>אשדוד</t>
  </si>
  <si>
    <t>סיכום הזמנות:</t>
  </si>
  <si>
    <t>ממוצע של משלוחים בחנות</t>
  </si>
  <si>
    <t>המשלוח בעל המחיר הנמוכה ביותר</t>
  </si>
  <si>
    <t>המשלוח בעל המחיר הגבוה ביותר</t>
  </si>
  <si>
    <t>כמות המשלוחים בחנות</t>
  </si>
  <si>
    <t>RW22</t>
  </si>
  <si>
    <t>משלוחים:</t>
  </si>
  <si>
    <t xml:space="preserve">תוויות </t>
  </si>
  <si>
    <t>מחיר סופי כולל משלוח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</si>
</sst>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₪&quot;\ #,##0"/>
    <numFmt numFmtId="165" formatCode="&quot;₪&quot;\ #,##0.00"/>
    <numFmt numFmtId="166" formatCode="[$-1010000]d/m/yy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270">
        <stop position="0">
          <color theme="0"/>
        </stop>
        <stop position="1">
          <color theme="8" tint="0.80001220740379042"/>
        </stop>
      </gradient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B2B2B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0">
    <xf numFmtId="0" fontId="0" fillId="0" borderId="0" xfId="0"/>
    <xf numFmtId="0" fontId="0" fillId="4" borderId="0" xfId="0" applyFill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0" fillId="4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0" fillId="2" borderId="1" xfId="1" applyFont="1" applyAlignment="1">
      <alignment horizontal="center"/>
    </xf>
    <xf numFmtId="0" fontId="0" fillId="4" borderId="0" xfId="0" applyFill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4" fontId="2" fillId="5" borderId="0" xfId="0" applyNumberFormat="1" applyFont="1" applyFill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12" fontId="0" fillId="0" borderId="4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0" fontId="0" fillId="0" borderId="0" xfId="0" applyAlignment="1">
      <alignment horizontal="right" indent="2"/>
    </xf>
    <xf numFmtId="0" fontId="0" fillId="0" borderId="0" xfId="0" applyAlignment="1">
      <alignment horizontal="right" indent="3"/>
    </xf>
    <xf numFmtId="14" fontId="0" fillId="0" borderId="0" xfId="0" applyNumberFormat="1" applyAlignment="1">
      <alignment horizontal="right" indent="4"/>
    </xf>
    <xf numFmtId="0" fontId="0" fillId="0" borderId="0" xfId="0" pivotButton="1" applyAlignment="1">
      <alignment horizontal="center"/>
    </xf>
    <xf numFmtId="0" fontId="0" fillId="2" borderId="9" xfId="1" applyFont="1" applyBorder="1" applyAlignment="1">
      <alignment horizontal="center"/>
    </xf>
    <xf numFmtId="0" fontId="0" fillId="2" borderId="11" xfId="1" applyFont="1" applyBorder="1" applyAlignment="1">
      <alignment horizontal="center"/>
    </xf>
    <xf numFmtId="0" fontId="0" fillId="2" borderId="10" xfId="1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2" borderId="1" xfId="1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2" fillId="5" borderId="18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</cellXfs>
  <cellStyles count="2">
    <cellStyle name="Normal" xfId="0" builtinId="0"/>
    <cellStyle name="הערה" xfId="1" builtinId="10"/>
  </cellStyles>
  <dxfs count="2"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פריט לפי כמות במלאי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</c:pivotFmts>
    <c:plotArea>
      <c:layout/>
      <c:pieChart>
        <c:varyColors val="1"/>
        <c:ser>
          <c:idx val="0"/>
          <c:order val="0"/>
          <c:tx>
            <c:v>סה"כ</c:v>
          </c:tx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E2CC-4F25-9B59-F7A71CD2C3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E2CC-4F25-9B59-F7A71CD2C3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E2CC-4F25-9B59-F7A71CD2C3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E2CC-4F25-9B59-F7A71CD2C3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9-E2CC-4F25-9B59-F7A71CD2C3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E2CC-4F25-9B59-F7A71CD2C3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E2CC-4F25-9B59-F7A71CD2C3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F-E2CC-4F25-9B59-F7A71CD2C3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1-E2CC-4F25-9B59-F7A71CD2C3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3-E2CC-4F25-9B59-F7A71CD2C3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5-E2CC-4F25-9B59-F7A71CD2C3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7-E2CC-4F25-9B59-F7A71CD2C34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9-E2CC-4F25-9B59-F7A71CD2C34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E2CC-4F25-9B59-F7A71CD2C34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D-E2CC-4F25-9B59-F7A71CD2C34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F-E2CC-4F25-9B59-F7A71CD2C34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1-E2CC-4F25-9B59-F7A71CD2C34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3-E2CC-4F25-9B59-F7A71CD2C34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5-E2CC-4F25-9B59-F7A71CD2C34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7-E2CC-4F25-9B59-F7A71CD2C34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9-E2CC-4F25-9B59-F7A71CD2C34D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B-E2CC-4F25-9B59-F7A71CD2C34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D-E2CC-4F25-9B59-F7A71CD2C34D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F-E2CC-4F25-9B59-F7A71CD2C3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4"/>
              <c:pt idx="0">
                <c:v>טבעת 14K ורוד</c:v>
              </c:pt>
              <c:pt idx="1">
                <c:v>טבעת 14K לבן</c:v>
              </c:pt>
              <c:pt idx="2">
                <c:v>טבעת 14K צהוב</c:v>
              </c:pt>
              <c:pt idx="3">
                <c:v>טבעת 18K לבן</c:v>
              </c:pt>
              <c:pt idx="4">
                <c:v>טבעת 18K צהוב</c:v>
              </c:pt>
              <c:pt idx="5">
                <c:v>טבעת 24K לבן</c:v>
              </c:pt>
              <c:pt idx="6">
                <c:v>עגילים 14K ורוד</c:v>
              </c:pt>
              <c:pt idx="7">
                <c:v>עגילים 14K לבן</c:v>
              </c:pt>
              <c:pt idx="8">
                <c:v>עגילים 14K צהוב</c:v>
              </c:pt>
              <c:pt idx="9">
                <c:v>עגילים 18K ורוד</c:v>
              </c:pt>
              <c:pt idx="10">
                <c:v>עגילים 18K לבן</c:v>
              </c:pt>
              <c:pt idx="11">
                <c:v>עגילים 18K צהוב</c:v>
              </c:pt>
              <c:pt idx="12">
                <c:v>עגילים 24K צהוב</c:v>
              </c:pt>
              <c:pt idx="13">
                <c:v>צמיד 14K צהוב</c:v>
              </c:pt>
              <c:pt idx="14">
                <c:v>צמיד 18K ורוד</c:v>
              </c:pt>
              <c:pt idx="15">
                <c:v>צמיד 18K לבן</c:v>
              </c:pt>
              <c:pt idx="16">
                <c:v>צמיד 18K צהוב</c:v>
              </c:pt>
              <c:pt idx="17">
                <c:v>צמיד 24K לבן</c:v>
              </c:pt>
              <c:pt idx="18">
                <c:v>צמיד 24K צהוב</c:v>
              </c:pt>
              <c:pt idx="19">
                <c:v>שרשרת 14K ורוד</c:v>
              </c:pt>
              <c:pt idx="20">
                <c:v>שרשרת 14K לבן</c:v>
              </c:pt>
              <c:pt idx="21">
                <c:v>שרשרת 14K צהוב</c:v>
              </c:pt>
              <c:pt idx="22">
                <c:v>שרשרת 18K צהוב</c:v>
              </c:pt>
              <c:pt idx="23">
                <c:v>שרשרת 24K צהוב</c:v>
              </c:pt>
            </c:strLit>
          </c:cat>
          <c:val>
            <c:numLit>
              <c:formatCode>General</c:formatCode>
              <c:ptCount val="24"/>
              <c:pt idx="0">
                <c:v>20</c:v>
              </c:pt>
              <c:pt idx="1">
                <c:v>18</c:v>
              </c:pt>
              <c:pt idx="2">
                <c:v>22</c:v>
              </c:pt>
              <c:pt idx="3">
                <c:v>10</c:v>
              </c:pt>
              <c:pt idx="4">
                <c:v>16</c:v>
              </c:pt>
              <c:pt idx="5">
                <c:v>10</c:v>
              </c:pt>
              <c:pt idx="6">
                <c:v>10</c:v>
              </c:pt>
              <c:pt idx="7">
                <c:v>15</c:v>
              </c:pt>
              <c:pt idx="8">
                <c:v>12</c:v>
              </c:pt>
              <c:pt idx="9">
                <c:v>8</c:v>
              </c:pt>
              <c:pt idx="10">
                <c:v>10</c:v>
              </c:pt>
              <c:pt idx="11">
                <c:v>8</c:v>
              </c:pt>
              <c:pt idx="12">
                <c:v>12</c:v>
              </c:pt>
              <c:pt idx="13">
                <c:v>25</c:v>
              </c:pt>
              <c:pt idx="14">
                <c:v>30</c:v>
              </c:pt>
              <c:pt idx="15">
                <c:v>25</c:v>
              </c:pt>
              <c:pt idx="16">
                <c:v>35</c:v>
              </c:pt>
              <c:pt idx="17">
                <c:v>15</c:v>
              </c:pt>
              <c:pt idx="18">
                <c:v>15</c:v>
              </c:pt>
              <c:pt idx="19">
                <c:v>40</c:v>
              </c:pt>
              <c:pt idx="20">
                <c:v>32</c:v>
              </c:pt>
              <c:pt idx="21">
                <c:v>28</c:v>
              </c:pt>
              <c:pt idx="22">
                <c:v>25</c:v>
              </c:pt>
              <c:pt idx="23">
                <c:v>25</c:v>
              </c:pt>
            </c:numLit>
          </c:val>
          <c:extLst>
            <c:ext xmlns:c16="http://schemas.microsoft.com/office/drawing/2014/chart" uri="{C3380CC4-5D6E-409C-BE32-E72D297353CC}">
              <c16:uniqueId val="{00000030-E2CC-4F25-9B59-F7A71CD2C34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he-IL"/>
              <a:t>סכום של מחיר כולל משלוח על איזור שילוח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סה"כ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5"/>
              <c:pt idx="0">
                <c:v>דרום</c:v>
              </c:pt>
              <c:pt idx="1">
                <c:v>מרכז</c:v>
              </c:pt>
              <c:pt idx="2">
                <c:v>צפון</c:v>
              </c:pt>
              <c:pt idx="3">
                <c:v>שפלה</c:v>
              </c:pt>
              <c:pt idx="4">
                <c:v>תל אביב</c:v>
              </c:pt>
            </c:strLit>
          </c:cat>
          <c:val>
            <c:numLit>
              <c:formatCode>General</c:formatCode>
              <c:ptCount val="5"/>
              <c:pt idx="0">
                <c:v>4260</c:v>
              </c:pt>
              <c:pt idx="1">
                <c:v>4700</c:v>
              </c:pt>
              <c:pt idx="2">
                <c:v>8940</c:v>
              </c:pt>
              <c:pt idx="3">
                <c:v>4430</c:v>
              </c:pt>
              <c:pt idx="4">
                <c:v>11660</c:v>
              </c:pt>
            </c:numLit>
          </c:val>
          <c:extLst>
            <c:ext xmlns:c16="http://schemas.microsoft.com/office/drawing/2014/chart" uri="{C3380CC4-5D6E-409C-BE32-E72D297353CC}">
              <c16:uniqueId val="{00000000-85E7-4D75-AC08-DD87D9C6D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30474287"/>
        <c:axId val="1930474767"/>
      </c:barChart>
      <c:catAx>
        <c:axId val="193047428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474767"/>
        <c:crosses val="autoZero"/>
        <c:auto val="1"/>
        <c:lblAlgn val="ctr"/>
        <c:lblOffset val="100"/>
        <c:noMultiLvlLbl val="0"/>
      </c:catAx>
      <c:valAx>
        <c:axId val="193047476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47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437322</xdr:colOff>
      <xdr:row>7</xdr:row>
      <xdr:rowOff>99390</xdr:rowOff>
    </xdr:from>
    <xdr:to>
      <xdr:col>14</xdr:col>
      <xdr:colOff>518161</xdr:colOff>
      <xdr:row>26</xdr:row>
      <xdr:rowOff>45720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138F07A7-C9C5-4646-AFEC-8F4FA3171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208430</xdr:colOff>
      <xdr:row>22</xdr:row>
      <xdr:rowOff>38100</xdr:rowOff>
    </xdr:from>
    <xdr:to>
      <xdr:col>16</xdr:col>
      <xdr:colOff>1162050</xdr:colOff>
      <xdr:row>44</xdr:row>
      <xdr:rowOff>19050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D7C3B8E2-46D2-4765-8B0A-446617835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&#1490;&#1500;%20&#1513;&#1500;&#1493;&#1501;%20(1).xlsx" TargetMode="External"/><Relationship Id="rId1" Type="http://schemas.openxmlformats.org/officeDocument/2006/relationships/externalLinkPath" Target="/Users/Administrator/Downloads/&#1490;&#1500;%20&#1513;&#1500;&#1493;&#1501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זמנות"/>
      <sheetName val="גיליון2"/>
      <sheetName val="מלאי תכשיטים"/>
      <sheetName val="משלוחים חודש יוני"/>
      <sheetName val="טבלאות ציר"/>
    </sheetNames>
    <sheetDataSet>
      <sheetData sheetId="0"/>
      <sheetData sheetId="1"/>
      <sheetData sheetId="2">
        <row r="3">
          <cell r="B3" t="str">
            <v>EP14</v>
          </cell>
          <cell r="C3" t="str">
            <v>עגילים 14K ורוד</v>
          </cell>
          <cell r="D3" t="str">
            <v>14 קראט</v>
          </cell>
          <cell r="E3">
            <v>3300</v>
          </cell>
        </row>
        <row r="4">
          <cell r="B4" t="str">
            <v>EW14</v>
          </cell>
          <cell r="C4" t="str">
            <v>עגילים 14K לבן</v>
          </cell>
          <cell r="D4" t="str">
            <v>14 קראט</v>
          </cell>
          <cell r="E4">
            <v>3500</v>
          </cell>
        </row>
        <row r="5">
          <cell r="B5" t="str">
            <v>EY24</v>
          </cell>
          <cell r="C5" t="str">
            <v>עגילים 24K צהוב</v>
          </cell>
          <cell r="D5" t="str">
            <v>24 קראט</v>
          </cell>
          <cell r="E5">
            <v>4200</v>
          </cell>
        </row>
        <row r="6">
          <cell r="B6" t="str">
            <v>EW18</v>
          </cell>
          <cell r="C6" t="str">
            <v>עגילים 18K לבן</v>
          </cell>
          <cell r="D6" t="str">
            <v>18 קראט</v>
          </cell>
          <cell r="E6">
            <v>3600</v>
          </cell>
        </row>
        <row r="7">
          <cell r="B7" t="str">
            <v>EP18</v>
          </cell>
          <cell r="C7" t="str">
            <v>עגילים 18K ורוד</v>
          </cell>
          <cell r="D7" t="str">
            <v>18 קראט</v>
          </cell>
          <cell r="E7">
            <v>3400</v>
          </cell>
        </row>
        <row r="8">
          <cell r="B8" t="str">
            <v>EY14</v>
          </cell>
          <cell r="C8" t="str">
            <v>עגילים 14K צהוב</v>
          </cell>
          <cell r="D8" t="str">
            <v>14 קראט</v>
          </cell>
          <cell r="E8">
            <v>3000</v>
          </cell>
        </row>
        <row r="9">
          <cell r="B9" t="str">
            <v>EY18</v>
          </cell>
          <cell r="C9" t="str">
            <v>עגילים 18K צהוב</v>
          </cell>
          <cell r="D9" t="str">
            <v>18 קראט</v>
          </cell>
          <cell r="E9">
            <v>3500</v>
          </cell>
        </row>
        <row r="10">
          <cell r="B10" t="str">
            <v>RP14</v>
          </cell>
          <cell r="C10" t="str">
            <v>טבעת 14K ורוד</v>
          </cell>
          <cell r="D10" t="str">
            <v>14 קראט</v>
          </cell>
          <cell r="E10">
            <v>2600</v>
          </cell>
        </row>
        <row r="11">
          <cell r="B11" t="str">
            <v>RW14</v>
          </cell>
          <cell r="C11" t="str">
            <v>טבעת 14K לבן</v>
          </cell>
          <cell r="D11" t="str">
            <v>14 קראט</v>
          </cell>
          <cell r="E11">
            <v>2800</v>
          </cell>
        </row>
        <row r="12">
          <cell r="B12" t="str">
            <v>RW18</v>
          </cell>
          <cell r="C12" t="str">
            <v>טבעת 18K לבן</v>
          </cell>
          <cell r="D12" t="str">
            <v>18 קראט</v>
          </cell>
          <cell r="E12">
            <v>2900</v>
          </cell>
        </row>
        <row r="13">
          <cell r="B13" t="str">
            <v>RW24</v>
          </cell>
          <cell r="C13" t="str">
            <v>טבעת 24K לבן</v>
          </cell>
          <cell r="D13" t="str">
            <v>24 קראט</v>
          </cell>
          <cell r="E13">
            <v>3300</v>
          </cell>
        </row>
        <row r="14">
          <cell r="B14" t="str">
            <v>RY14</v>
          </cell>
          <cell r="C14" t="str">
            <v>טבעת 14K צהוב</v>
          </cell>
          <cell r="D14" t="str">
            <v>14 קראט</v>
          </cell>
          <cell r="E14">
            <v>2500</v>
          </cell>
        </row>
        <row r="15">
          <cell r="B15" t="str">
            <v>RY18</v>
          </cell>
          <cell r="C15" t="str">
            <v>טבעת 18K צהוב</v>
          </cell>
          <cell r="D15" t="str">
            <v>18 קראט</v>
          </cell>
          <cell r="E15">
            <v>2800</v>
          </cell>
        </row>
        <row r="16">
          <cell r="B16" t="str">
            <v>BY14</v>
          </cell>
          <cell r="C16" t="str">
            <v>צמיד 14K צהוב</v>
          </cell>
          <cell r="D16" t="str">
            <v>14 קראט</v>
          </cell>
          <cell r="E16">
            <v>950</v>
          </cell>
        </row>
        <row r="17">
          <cell r="B17" t="str">
            <v>BW24</v>
          </cell>
          <cell r="C17" t="str">
            <v>צמיד 24K לבן</v>
          </cell>
          <cell r="D17" t="str">
            <v>24 קראט</v>
          </cell>
          <cell r="E17">
            <v>1800</v>
          </cell>
        </row>
        <row r="18">
          <cell r="B18" t="str">
            <v>BY24</v>
          </cell>
          <cell r="C18" t="str">
            <v>צמיד 24K צהוב</v>
          </cell>
          <cell r="D18" t="str">
            <v>24 קראט</v>
          </cell>
          <cell r="E18">
            <v>1600</v>
          </cell>
        </row>
        <row r="19">
          <cell r="B19" t="str">
            <v>BP18</v>
          </cell>
          <cell r="C19" t="str">
            <v>צמיד 18K ורוד</v>
          </cell>
          <cell r="D19" t="str">
            <v>18 קראט</v>
          </cell>
          <cell r="E19">
            <v>1300</v>
          </cell>
        </row>
        <row r="20">
          <cell r="B20" t="str">
            <v>BW18</v>
          </cell>
          <cell r="C20" t="str">
            <v>צמיד 18K לבן</v>
          </cell>
          <cell r="D20" t="str">
            <v>18 קראט</v>
          </cell>
          <cell r="E20">
            <v>1500</v>
          </cell>
        </row>
        <row r="21">
          <cell r="B21" t="str">
            <v>BY18</v>
          </cell>
          <cell r="C21" t="str">
            <v>צמיד 18K צהוב</v>
          </cell>
          <cell r="D21" t="str">
            <v>18 קראט</v>
          </cell>
          <cell r="E21">
            <v>1200</v>
          </cell>
        </row>
        <row r="22">
          <cell r="B22" t="str">
            <v>NP14</v>
          </cell>
          <cell r="C22" t="str">
            <v>שרשרת 14K ורוד</v>
          </cell>
          <cell r="D22" t="str">
            <v>14 קראט</v>
          </cell>
          <cell r="E22">
            <v>800</v>
          </cell>
        </row>
        <row r="23">
          <cell r="B23" t="str">
            <v>NY24</v>
          </cell>
          <cell r="C23" t="str">
            <v>שרשרת 24K צהוב</v>
          </cell>
          <cell r="D23" t="str">
            <v>24 קראט</v>
          </cell>
          <cell r="E23">
            <v>1500</v>
          </cell>
        </row>
        <row r="24">
          <cell r="B24" t="str">
            <v>NY18</v>
          </cell>
          <cell r="C24" t="str">
            <v>שרשרת 18K צהוב</v>
          </cell>
          <cell r="D24" t="str">
            <v>18 קראט</v>
          </cell>
          <cell r="E24">
            <v>1200</v>
          </cell>
        </row>
        <row r="25">
          <cell r="B25" t="str">
            <v>NW14</v>
          </cell>
          <cell r="C25" t="str">
            <v>שרשרת 14K לבן</v>
          </cell>
          <cell r="D25" t="str">
            <v>14 קראט</v>
          </cell>
          <cell r="E25">
            <v>1000</v>
          </cell>
        </row>
        <row r="26">
          <cell r="B26" t="str">
            <v>NY14</v>
          </cell>
          <cell r="C26" t="str">
            <v>שרשרת 14K צהוב</v>
          </cell>
          <cell r="D26" t="str">
            <v>14 קראט</v>
          </cell>
          <cell r="E26">
            <v>900</v>
          </cell>
        </row>
      </sheetData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istrator/Downloads/&#1490;&#1500;%20&#1513;&#1500;&#1493;&#1501;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ked arish" refreshedDate="45473.732901157404" createdVersion="8" refreshedVersion="8" minRefreshableVersion="3" recordCount="16" xr:uid="{8C189BB3-BB48-4676-A7A4-85C7A1225CBE}">
  <cacheSource type="worksheet">
    <worksheetSource ref="A2:J18" sheet="משלוחים חודש יוני" r:id="rId2"/>
  </cacheSource>
  <cacheFields count="9">
    <cacheField name="קוד משלוח " numFmtId="0">
      <sharedItems containsSemiMixedTypes="0" containsString="0" containsNumber="1" containsInteger="1" minValue="1010" maxValue="9090"/>
    </cacheField>
    <cacheField name="קוד פריט" numFmtId="0">
      <sharedItems count="12">
        <s v="NP14"/>
        <s v="EP14"/>
        <s v="BP18"/>
        <s v="BW24"/>
        <s v="RW24"/>
        <s v="EW14"/>
        <s v="NW14"/>
        <s v="BW18"/>
        <s v="RY18"/>
        <s v="NY18"/>
        <s v="EP18"/>
        <s v="EY14"/>
      </sharedItems>
    </cacheField>
    <cacheField name="שם מלא" numFmtId="0">
      <sharedItems count="16">
        <s v="קותי סבג"/>
        <s v="שון בלאיש"/>
        <s v="חיים כהן"/>
        <s v="נועה קירל"/>
        <s v="שחר חסון"/>
        <s v="סתיו קצין"/>
        <s v="עידן יניב"/>
        <s v="רועי לוי"/>
        <s v="עדן גולן"/>
        <s v="ניב סעדה"/>
        <s v="ניר דוידוביץ"/>
        <s v="שירה מרגלית"/>
        <s v="עדי הימלבלוי"/>
        <s v="יהודה לוי"/>
        <s v="אייל שני"/>
        <s v="אורי חזקיה"/>
      </sharedItems>
    </cacheField>
    <cacheField name="איזור שילוח" numFmtId="0">
      <sharedItems count="5">
        <s v="דרום"/>
        <s v="תל אביב"/>
        <s v="צפון"/>
        <s v="מרכז"/>
        <s v="שפלה"/>
      </sharedItems>
    </cacheField>
    <cacheField name="כתובת" numFmtId="0">
      <sharedItems count="16">
        <s v="אבשלום 12, באר שבע"/>
        <s v="ביאליק 12, באר שבע"/>
        <s v="המתמיד 19, תל אביב"/>
        <s v="רוטשילד 33, תל אביב"/>
        <s v="אבן גבירול 15, תל אביב"/>
        <s v="המלך ג'ורג' 8, תל אביב"/>
        <s v="רוטשילד 12, תל אביב"/>
        <s v="העפרוני 32, עכו"/>
        <s v="דרך נמיר 21, תל אביב"/>
        <s v="רוממה, חיפה"/>
        <s v="הגעתון 12, נהריה"/>
        <s v="אחי אילת 12, קרית חיים"/>
        <s v="אלקלעי 8, נתניה"/>
        <s v="שבי ציון 10, רמת השרון"/>
        <s v="צבי הורוביץ 15, רחובות"/>
        <s v="ניסים 22, גדרה"/>
      </sharedItems>
    </cacheField>
    <cacheField name="עלות משלוח" numFmtId="165">
      <sharedItems containsSemiMixedTypes="0" containsString="0" containsNumber="1" containsInteger="1" minValue="35" maxValue="80"/>
    </cacheField>
    <cacheField name="מחיר כולל משלוח" numFmtId="165">
      <sharedItems containsSemiMixedTypes="0" containsString="0" containsNumber="1" containsInteger="1" minValue="860" maxValue="3535"/>
    </cacheField>
    <cacheField name="תאריך משלוח " numFmtId="14">
      <sharedItems containsSemiMixedTypes="0" containsNonDate="0" containsDate="1" containsString="0" minDate="2024-07-02T00:00:00" maxDate="2024-07-08T00:00:00" count="5">
        <d v="2024-07-07T00:00:00"/>
        <d v="2024-07-02T00:00:00"/>
        <d v="2024-07-03T00:00:00"/>
        <d v="2024-07-05T00:00:00"/>
        <d v="2024-07-06T00:00:00"/>
      </sharedItems>
    </cacheField>
    <cacheField name="יום המשלוח המשוער" numFmtId="0">
      <sharedItems count="5">
        <s v="יום ראשון"/>
        <s v="יום שלישי"/>
        <s v="יום רביעי"/>
        <s v="יום שישי"/>
        <s v="שבת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7777"/>
    <x v="0"/>
    <x v="0"/>
    <x v="0"/>
    <x v="0"/>
    <n v="80"/>
    <n v="880"/>
    <x v="0"/>
    <x v="0"/>
  </r>
  <r>
    <n v="5050"/>
    <x v="1"/>
    <x v="1"/>
    <x v="0"/>
    <x v="1"/>
    <n v="80"/>
    <n v="3380"/>
    <x v="0"/>
    <x v="0"/>
  </r>
  <r>
    <n v="4444"/>
    <x v="0"/>
    <x v="2"/>
    <x v="1"/>
    <x v="2"/>
    <n v="60"/>
    <n v="860"/>
    <x v="1"/>
    <x v="1"/>
  </r>
  <r>
    <n v="4040"/>
    <x v="2"/>
    <x v="3"/>
    <x v="1"/>
    <x v="3"/>
    <n v="60"/>
    <n v="1360"/>
    <x v="1"/>
    <x v="1"/>
  </r>
  <r>
    <n v="2222"/>
    <x v="3"/>
    <x v="4"/>
    <x v="1"/>
    <x v="4"/>
    <n v="60"/>
    <n v="1860"/>
    <x v="1"/>
    <x v="1"/>
  </r>
  <r>
    <n v="3030"/>
    <x v="4"/>
    <x v="5"/>
    <x v="1"/>
    <x v="5"/>
    <n v="60"/>
    <n v="3360"/>
    <x v="1"/>
    <x v="1"/>
  </r>
  <r>
    <n v="1010"/>
    <x v="1"/>
    <x v="6"/>
    <x v="1"/>
    <x v="6"/>
    <n v="60"/>
    <n v="3360"/>
    <x v="1"/>
    <x v="1"/>
  </r>
  <r>
    <n v="1111"/>
    <x v="5"/>
    <x v="7"/>
    <x v="2"/>
    <x v="7"/>
    <n v="35"/>
    <n v="3535"/>
    <x v="2"/>
    <x v="2"/>
  </r>
  <r>
    <n v="6060"/>
    <x v="0"/>
    <x v="8"/>
    <x v="1"/>
    <x v="8"/>
    <n v="60"/>
    <n v="860"/>
    <x v="1"/>
    <x v="1"/>
  </r>
  <r>
    <n v="2020"/>
    <x v="6"/>
    <x v="9"/>
    <x v="2"/>
    <x v="9"/>
    <n v="35"/>
    <n v="1035"/>
    <x v="2"/>
    <x v="2"/>
  </r>
  <r>
    <n v="6666"/>
    <x v="7"/>
    <x v="10"/>
    <x v="2"/>
    <x v="10"/>
    <n v="35"/>
    <n v="1535"/>
    <x v="2"/>
    <x v="2"/>
  </r>
  <r>
    <n v="7070"/>
    <x v="8"/>
    <x v="11"/>
    <x v="2"/>
    <x v="11"/>
    <n v="35"/>
    <n v="2835"/>
    <x v="2"/>
    <x v="2"/>
  </r>
  <r>
    <n v="8080"/>
    <x v="9"/>
    <x v="12"/>
    <x v="3"/>
    <x v="12"/>
    <n v="50"/>
    <n v="1250"/>
    <x v="3"/>
    <x v="3"/>
  </r>
  <r>
    <n v="9090"/>
    <x v="10"/>
    <x v="13"/>
    <x v="3"/>
    <x v="13"/>
    <n v="50"/>
    <n v="3450"/>
    <x v="3"/>
    <x v="3"/>
  </r>
  <r>
    <n v="5555"/>
    <x v="2"/>
    <x v="14"/>
    <x v="4"/>
    <x v="14"/>
    <n v="65"/>
    <n v="1365"/>
    <x v="4"/>
    <x v="4"/>
  </r>
  <r>
    <n v="3333"/>
    <x v="11"/>
    <x v="15"/>
    <x v="4"/>
    <x v="15"/>
    <n v="65"/>
    <n v="3065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D09A7-14F5-409C-BF3D-6C920E6E2269}" name="PivotTable3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rowHeaderCaption="תוויות ">
  <location ref="A2:B79" firstHeaderRow="1" firstDataRow="1" firstDataCol="1"/>
  <pivotFields count="9">
    <pivotField showAll="0"/>
    <pivotField axis="axisRow" showAll="0">
      <items count="13">
        <item x="2"/>
        <item x="7"/>
        <item x="3"/>
        <item x="1"/>
        <item x="10"/>
        <item x="5"/>
        <item x="11"/>
        <item x="0"/>
        <item x="6"/>
        <item x="9"/>
        <item x="4"/>
        <item x="8"/>
        <item t="default"/>
      </items>
    </pivotField>
    <pivotField axis="axisRow" showAll="0">
      <items count="17">
        <item x="15"/>
        <item x="14"/>
        <item x="2"/>
        <item x="13"/>
        <item x="3"/>
        <item x="9"/>
        <item x="10"/>
        <item x="5"/>
        <item x="12"/>
        <item x="8"/>
        <item x="6"/>
        <item x="0"/>
        <item x="7"/>
        <item x="1"/>
        <item x="4"/>
        <item x="11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axis="axisRow" showAll="0">
      <items count="17">
        <item x="4"/>
        <item x="0"/>
        <item x="11"/>
        <item x="12"/>
        <item x="1"/>
        <item x="8"/>
        <item x="10"/>
        <item x="5"/>
        <item x="2"/>
        <item x="7"/>
        <item x="15"/>
        <item x="14"/>
        <item x="6"/>
        <item x="3"/>
        <item x="9"/>
        <item x="13"/>
        <item t="default"/>
      </items>
    </pivotField>
    <pivotField numFmtId="165" showAll="0"/>
    <pivotField dataField="1" numFmtId="165" showAll="0"/>
    <pivotField axis="axisRow" numFmtId="14" showAll="0">
      <items count="6">
        <item x="1"/>
        <item x="2"/>
        <item x="3"/>
        <item x="4"/>
        <item x="0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5">
    <field x="1"/>
    <field x="2"/>
    <field x="3"/>
    <field x="4"/>
    <field x="7"/>
  </rowFields>
  <rowItems count="77">
    <i>
      <x/>
    </i>
    <i r="1">
      <x v="1"/>
    </i>
    <i r="2">
      <x v="3"/>
    </i>
    <i r="3">
      <x v="11"/>
    </i>
    <i r="4">
      <x v="3"/>
    </i>
    <i r="1">
      <x v="4"/>
    </i>
    <i r="2">
      <x v="4"/>
    </i>
    <i r="3">
      <x v="13"/>
    </i>
    <i r="4">
      <x/>
    </i>
    <i>
      <x v="1"/>
    </i>
    <i r="1">
      <x v="6"/>
    </i>
    <i r="2">
      <x v="2"/>
    </i>
    <i r="3">
      <x v="6"/>
    </i>
    <i r="4">
      <x v="1"/>
    </i>
    <i>
      <x v="2"/>
    </i>
    <i r="1">
      <x v="14"/>
    </i>
    <i r="2">
      <x v="4"/>
    </i>
    <i r="3">
      <x/>
    </i>
    <i r="4">
      <x/>
    </i>
    <i>
      <x v="3"/>
    </i>
    <i r="1">
      <x v="10"/>
    </i>
    <i r="2">
      <x v="4"/>
    </i>
    <i r="3">
      <x v="12"/>
    </i>
    <i r="4">
      <x/>
    </i>
    <i r="1">
      <x v="13"/>
    </i>
    <i r="2">
      <x/>
    </i>
    <i r="3">
      <x v="4"/>
    </i>
    <i r="4">
      <x v="4"/>
    </i>
    <i>
      <x v="4"/>
    </i>
    <i r="1">
      <x v="3"/>
    </i>
    <i r="2">
      <x v="1"/>
    </i>
    <i r="3">
      <x v="15"/>
    </i>
    <i r="4">
      <x v="2"/>
    </i>
    <i>
      <x v="5"/>
    </i>
    <i r="1">
      <x v="12"/>
    </i>
    <i r="2">
      <x v="2"/>
    </i>
    <i r="3">
      <x v="9"/>
    </i>
    <i r="4">
      <x v="1"/>
    </i>
    <i>
      <x v="6"/>
    </i>
    <i r="1">
      <x/>
    </i>
    <i r="2">
      <x v="3"/>
    </i>
    <i r="3">
      <x v="10"/>
    </i>
    <i r="4">
      <x v="3"/>
    </i>
    <i>
      <x v="7"/>
    </i>
    <i r="1">
      <x v="2"/>
    </i>
    <i r="2">
      <x v="4"/>
    </i>
    <i r="3">
      <x v="8"/>
    </i>
    <i r="4">
      <x/>
    </i>
    <i r="1">
      <x v="9"/>
    </i>
    <i r="2">
      <x v="4"/>
    </i>
    <i r="3">
      <x v="5"/>
    </i>
    <i r="4">
      <x/>
    </i>
    <i r="1">
      <x v="11"/>
    </i>
    <i r="2">
      <x/>
    </i>
    <i r="3">
      <x v="1"/>
    </i>
    <i r="4">
      <x v="4"/>
    </i>
    <i>
      <x v="8"/>
    </i>
    <i r="1">
      <x v="5"/>
    </i>
    <i r="2">
      <x v="2"/>
    </i>
    <i r="3">
      <x v="14"/>
    </i>
    <i r="4">
      <x v="1"/>
    </i>
    <i>
      <x v="9"/>
    </i>
    <i r="1">
      <x v="8"/>
    </i>
    <i r="2">
      <x v="1"/>
    </i>
    <i r="3">
      <x v="3"/>
    </i>
    <i r="4">
      <x v="2"/>
    </i>
    <i>
      <x v="10"/>
    </i>
    <i r="1">
      <x v="7"/>
    </i>
    <i r="2">
      <x v="4"/>
    </i>
    <i r="3">
      <x v="7"/>
    </i>
    <i r="4">
      <x/>
    </i>
    <i>
      <x v="11"/>
    </i>
    <i r="1">
      <x v="15"/>
    </i>
    <i r="2">
      <x v="2"/>
    </i>
    <i r="3">
      <x v="2"/>
    </i>
    <i r="4">
      <x v="1"/>
    </i>
    <i t="grand">
      <x/>
    </i>
  </rowItems>
  <colItems count="1">
    <i/>
  </colItems>
  <dataFields count="1">
    <dataField name="מחיר סופי כולל משלוח" fld="6" baseField="1" baseItem="0"/>
  </dataFields>
  <formats count="2">
    <format dxfId="1">
      <pivotArea field="1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D0E5-F2C8-4A44-AD55-21077991A03E}">
  <dimension ref="A1:GH206"/>
  <sheetViews>
    <sheetView rightToLeft="1" zoomScale="40" zoomScaleNormal="40" workbookViewId="0">
      <selection activeCell="V40" sqref="V40"/>
    </sheetView>
  </sheetViews>
  <sheetFormatPr defaultRowHeight="14.5" x14ac:dyDescent="0.35"/>
  <cols>
    <col min="1" max="1" width="11.1796875" bestFit="1" customWidth="1"/>
    <col min="2" max="2" width="12" bestFit="1" customWidth="1"/>
    <col min="3" max="3" width="9.81640625" customWidth="1"/>
    <col min="4" max="4" width="8.453125" customWidth="1"/>
    <col min="5" max="5" width="11.7265625" customWidth="1"/>
    <col min="7" max="7" width="10.54296875" customWidth="1"/>
    <col min="8" max="8" width="10" customWidth="1"/>
    <col min="10" max="10" width="10.1796875" bestFit="1" customWidth="1"/>
    <col min="12" max="12" width="9.7265625" bestFit="1" customWidth="1"/>
    <col min="18" max="18" width="12.6328125" bestFit="1" customWidth="1"/>
  </cols>
  <sheetData>
    <row r="1" spans="1:190" ht="20" x14ac:dyDescent="0.3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</row>
    <row r="2" spans="1:190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4" t="s">
        <v>12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</row>
    <row r="3" spans="1:190" x14ac:dyDescent="0.35">
      <c r="A3" s="5" t="s">
        <v>13</v>
      </c>
      <c r="B3" s="26" t="s">
        <v>14</v>
      </c>
      <c r="C3" s="6" t="e">
        <f t="shared" ref="C3:C19" ca="1" si="0">INT((EDATE($Q$3, 0) - B3) / $Q$4)</f>
        <v>#VALUE!</v>
      </c>
      <c r="D3" s="5" t="s">
        <v>15</v>
      </c>
      <c r="E3" s="5" t="s">
        <v>16</v>
      </c>
      <c r="F3" s="5" t="str">
        <f>RIGHT(E3,2)</f>
        <v>14</v>
      </c>
      <c r="G3" s="5" t="str">
        <f t="shared" ref="G3:G19" si="1">LEFT(E3,1)</f>
        <v>E</v>
      </c>
      <c r="H3" s="5" t="str">
        <f t="shared" ref="H3:H19" si="2">MID(E3,2,1)</f>
        <v>P</v>
      </c>
      <c r="I3" s="7">
        <f>VLOOKUP(E3, '[1]מלאי תכשיטים'!$B$3:$E$26, 4, FALSE)</f>
        <v>3300</v>
      </c>
      <c r="J3" s="7">
        <f>SUM(I3,I3*0.17)</f>
        <v>3861</v>
      </c>
      <c r="K3" s="7">
        <f t="shared" ref="K3:K19" si="3">VLOOKUP(I3,$H$23:$I$27,2,TRUE)*I3</f>
        <v>495</v>
      </c>
      <c r="L3" s="24" cm="1">
        <f t="array" ref="L3">_xlfn.IFS(E3="", "", TRUE, J3-K3)</f>
        <v>3366</v>
      </c>
      <c r="M3" s="1"/>
      <c r="N3" s="1"/>
      <c r="O3" s="1"/>
      <c r="P3" s="1"/>
      <c r="Q3" s="8">
        <f ca="1">TODAY()</f>
        <v>45986</v>
      </c>
      <c r="R3" s="2" t="s">
        <v>17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</row>
    <row r="4" spans="1:190" x14ac:dyDescent="0.35">
      <c r="A4" s="5" t="s">
        <v>18</v>
      </c>
      <c r="B4" s="26" t="s">
        <v>19</v>
      </c>
      <c r="C4" s="6" t="e">
        <f t="shared" ca="1" si="0"/>
        <v>#VALUE!</v>
      </c>
      <c r="D4" s="5" t="s">
        <v>15</v>
      </c>
      <c r="E4" s="5" t="s">
        <v>20</v>
      </c>
      <c r="F4" s="5" t="str">
        <f>RIGHT(E4,2)</f>
        <v>14</v>
      </c>
      <c r="G4" s="5" t="str">
        <f t="shared" si="1"/>
        <v>R</v>
      </c>
      <c r="H4" s="5" t="str">
        <f t="shared" si="2"/>
        <v>W</v>
      </c>
      <c r="I4" s="7">
        <f>VLOOKUP(E4, '[1]מלאי תכשיטים'!$B$3:$E$26, 4, FALSE)</f>
        <v>2800</v>
      </c>
      <c r="J4" s="7">
        <f t="shared" ref="J4:J19" si="4">SUM(I4,I4*0.17)</f>
        <v>3276</v>
      </c>
      <c r="K4" s="7">
        <f t="shared" si="3"/>
        <v>280</v>
      </c>
      <c r="L4" s="24" cm="1">
        <f t="array" ref="L4">_xlfn.IFS(E4="", "", TRUE, J4-K4)</f>
        <v>2996</v>
      </c>
      <c r="M4" s="1"/>
      <c r="N4" s="1"/>
      <c r="O4" s="1"/>
      <c r="P4" s="1"/>
      <c r="Q4" s="9">
        <v>365</v>
      </c>
      <c r="R4" s="2" t="s">
        <v>21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</row>
    <row r="5" spans="1:190" x14ac:dyDescent="0.35">
      <c r="A5" s="5" t="s">
        <v>22</v>
      </c>
      <c r="B5" s="26" t="s">
        <v>23</v>
      </c>
      <c r="C5" s="6" t="e">
        <f t="shared" ca="1" si="0"/>
        <v>#VALUE!</v>
      </c>
      <c r="D5" s="5" t="s">
        <v>24</v>
      </c>
      <c r="E5" s="5" t="s">
        <v>25</v>
      </c>
      <c r="F5" s="5" t="str">
        <f t="shared" ref="F5:F19" si="5">RIGHT(E5,2)</f>
        <v>18</v>
      </c>
      <c r="G5" s="5" t="str">
        <f t="shared" si="1"/>
        <v>R</v>
      </c>
      <c r="H5" s="5" t="str">
        <f t="shared" si="2"/>
        <v>Y</v>
      </c>
      <c r="I5" s="7">
        <f>VLOOKUP(E5, '[1]מלאי תכשיטים'!$B$3:$E$26, 4, FALSE)</f>
        <v>2800</v>
      </c>
      <c r="J5" s="7">
        <f t="shared" si="4"/>
        <v>3276</v>
      </c>
      <c r="K5" s="10">
        <f t="shared" si="3"/>
        <v>280</v>
      </c>
      <c r="L5" s="24" cm="1">
        <f t="array" ref="L5">_xlfn.IFS(E5="", "", TRUE, J5-K5)</f>
        <v>2996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</row>
    <row r="6" spans="1:190" x14ac:dyDescent="0.35">
      <c r="A6" s="5" t="s">
        <v>26</v>
      </c>
      <c r="B6" s="26" t="s">
        <v>27</v>
      </c>
      <c r="C6" s="6" t="e">
        <f t="shared" ca="1" si="0"/>
        <v>#VALUE!</v>
      </c>
      <c r="D6" s="5" t="s">
        <v>24</v>
      </c>
      <c r="E6" s="5" t="s">
        <v>28</v>
      </c>
      <c r="F6" s="5" t="str">
        <f t="shared" si="5"/>
        <v>14</v>
      </c>
      <c r="G6" s="5" t="str">
        <f t="shared" si="1"/>
        <v>N</v>
      </c>
      <c r="H6" s="5" t="str">
        <f t="shared" si="2"/>
        <v>P</v>
      </c>
      <c r="I6" s="7">
        <f>VLOOKUP(E6, '[1]מלאי תכשיטים'!$B$3:$E$26, 4, FALSE)</f>
        <v>800</v>
      </c>
      <c r="J6" s="7">
        <f t="shared" si="4"/>
        <v>936</v>
      </c>
      <c r="K6" s="10">
        <f t="shared" si="3"/>
        <v>0</v>
      </c>
      <c r="L6" s="24" cm="1">
        <f t="array" ref="L6">_xlfn.IFS(E6="", "", TRUE, J6-K6)</f>
        <v>936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</row>
    <row r="7" spans="1:190" x14ac:dyDescent="0.35">
      <c r="A7" s="5" t="s">
        <v>29</v>
      </c>
      <c r="B7" s="26" t="s">
        <v>30</v>
      </c>
      <c r="C7" s="6" t="e">
        <f t="shared" ca="1" si="0"/>
        <v>#VALUE!</v>
      </c>
      <c r="D7" s="5" t="s">
        <v>24</v>
      </c>
      <c r="E7" s="5" t="s">
        <v>31</v>
      </c>
      <c r="F7" s="5" t="str">
        <f t="shared" si="5"/>
        <v>18</v>
      </c>
      <c r="G7" s="5" t="str">
        <f t="shared" si="1"/>
        <v>B</v>
      </c>
      <c r="H7" s="5" t="str">
        <f t="shared" si="2"/>
        <v>W</v>
      </c>
      <c r="I7" s="7">
        <f>VLOOKUP(E7, '[1]מלאי תכשיטים'!$B$3:$E$26, 4, FALSE)</f>
        <v>1500</v>
      </c>
      <c r="J7" s="7">
        <f t="shared" si="4"/>
        <v>1755</v>
      </c>
      <c r="K7" s="10">
        <f t="shared" si="3"/>
        <v>75</v>
      </c>
      <c r="L7" s="24" cm="1">
        <f t="array" ref="L7">_xlfn.IFS(E7="", "", TRUE, J7-K7)</f>
        <v>1680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</row>
    <row r="8" spans="1:190" x14ac:dyDescent="0.35">
      <c r="A8" s="5" t="s">
        <v>32</v>
      </c>
      <c r="B8" s="26" t="s">
        <v>77</v>
      </c>
      <c r="C8" s="6" t="e">
        <f t="shared" ca="1" si="0"/>
        <v>#VALUE!</v>
      </c>
      <c r="D8" s="5" t="s">
        <v>24</v>
      </c>
      <c r="E8" s="5" t="s">
        <v>33</v>
      </c>
      <c r="F8" s="5" t="str">
        <f t="shared" si="5"/>
        <v>14</v>
      </c>
      <c r="G8" s="5" t="str">
        <f t="shared" si="1"/>
        <v>N</v>
      </c>
      <c r="H8" s="5" t="str">
        <f t="shared" si="2"/>
        <v>W</v>
      </c>
      <c r="I8" s="7">
        <f>VLOOKUP(E8, '[1]מלאי תכשיטים'!$B$3:$E$26, 4, FALSE)</f>
        <v>1000</v>
      </c>
      <c r="J8" s="7">
        <f t="shared" si="4"/>
        <v>1170</v>
      </c>
      <c r="K8" s="10">
        <f t="shared" si="3"/>
        <v>50</v>
      </c>
      <c r="L8" s="24" cm="1">
        <f t="array" ref="L8">_xlfn.IFS(E8="", "", TRUE, J8-K8)</f>
        <v>1120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</row>
    <row r="9" spans="1:190" x14ac:dyDescent="0.35">
      <c r="A9" s="5" t="s">
        <v>34</v>
      </c>
      <c r="B9" s="26" t="s">
        <v>35</v>
      </c>
      <c r="C9" s="6" t="e">
        <f t="shared" ca="1" si="0"/>
        <v>#VALUE!</v>
      </c>
      <c r="D9" s="5" t="s">
        <v>24</v>
      </c>
      <c r="E9" s="5" t="s">
        <v>20</v>
      </c>
      <c r="F9" s="5" t="str">
        <f t="shared" si="5"/>
        <v>14</v>
      </c>
      <c r="G9" s="5" t="str">
        <f t="shared" si="1"/>
        <v>R</v>
      </c>
      <c r="H9" s="5" t="str">
        <f t="shared" si="2"/>
        <v>W</v>
      </c>
      <c r="I9" s="7">
        <f>VLOOKUP(E9, '[1]מלאי תכשיטים'!$B$3:$E$26, 4, FALSE)</f>
        <v>2800</v>
      </c>
      <c r="J9" s="7">
        <f t="shared" si="4"/>
        <v>3276</v>
      </c>
      <c r="K9" s="10">
        <f t="shared" si="3"/>
        <v>280</v>
      </c>
      <c r="L9" s="22" cm="1">
        <f t="array" ref="L9">_xlfn.IFS(E9="", "", TRUE, J9-K9)</f>
        <v>2996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</row>
    <row r="10" spans="1:190" x14ac:dyDescent="0.35">
      <c r="A10" s="5" t="s">
        <v>36</v>
      </c>
      <c r="B10" s="26" t="s">
        <v>37</v>
      </c>
      <c r="C10" s="6" t="e">
        <f t="shared" ca="1" si="0"/>
        <v>#VALUE!</v>
      </c>
      <c r="D10" s="5" t="s">
        <v>15</v>
      </c>
      <c r="E10" s="5" t="s">
        <v>38</v>
      </c>
      <c r="F10" s="5" t="str">
        <f t="shared" si="5"/>
        <v>18</v>
      </c>
      <c r="G10" s="5" t="str">
        <f t="shared" si="1"/>
        <v>B</v>
      </c>
      <c r="H10" s="5" t="str">
        <f t="shared" si="2"/>
        <v>Y</v>
      </c>
      <c r="I10" s="7">
        <f>VLOOKUP(E10, '[1]מלאי תכשיטים'!$B$3:$E$26, 4, FALSE)</f>
        <v>1200</v>
      </c>
      <c r="J10" s="7">
        <f t="shared" si="4"/>
        <v>1404</v>
      </c>
      <c r="K10" s="10">
        <f t="shared" si="3"/>
        <v>60</v>
      </c>
      <c r="L10" s="22" cm="1">
        <f t="array" ref="L10">_xlfn.IFS(E10="", "", TRUE, J10-K10)</f>
        <v>1344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</row>
    <row r="11" spans="1:190" x14ac:dyDescent="0.35">
      <c r="A11" s="5" t="s">
        <v>39</v>
      </c>
      <c r="B11" s="27">
        <v>26035</v>
      </c>
      <c r="C11" s="6">
        <f t="shared" ca="1" si="0"/>
        <v>54</v>
      </c>
      <c r="D11" s="5" t="s">
        <v>15</v>
      </c>
      <c r="E11" s="5" t="s">
        <v>40</v>
      </c>
      <c r="F11" s="5" t="str">
        <f t="shared" si="5"/>
        <v>14</v>
      </c>
      <c r="G11" s="5" t="str">
        <f t="shared" si="1"/>
        <v>N</v>
      </c>
      <c r="H11" s="5" t="str">
        <f t="shared" si="2"/>
        <v>Y</v>
      </c>
      <c r="I11" s="7">
        <f>VLOOKUP(E11, '[1]מלאי תכשיטים'!$B$3:$E$26, 4, FALSE)</f>
        <v>900</v>
      </c>
      <c r="J11" s="7">
        <f t="shared" si="4"/>
        <v>1053</v>
      </c>
      <c r="K11" s="10">
        <f t="shared" si="3"/>
        <v>0</v>
      </c>
      <c r="L11" s="22" cm="1">
        <f t="array" ref="L11">_xlfn.IFS(E11="", "", TRUE, J11-K11)</f>
        <v>1053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</row>
    <row r="12" spans="1:190" x14ac:dyDescent="0.35">
      <c r="A12" s="5" t="s">
        <v>41</v>
      </c>
      <c r="B12" s="27">
        <v>30446</v>
      </c>
      <c r="C12" s="6">
        <f t="shared" ca="1" si="0"/>
        <v>42</v>
      </c>
      <c r="D12" s="5" t="s">
        <v>15</v>
      </c>
      <c r="E12" s="5" t="s">
        <v>42</v>
      </c>
      <c r="F12" s="5" t="str">
        <f t="shared" si="5"/>
        <v>24</v>
      </c>
      <c r="G12" s="5" t="str">
        <f t="shared" si="1"/>
        <v>N</v>
      </c>
      <c r="H12" s="5" t="str">
        <f t="shared" si="2"/>
        <v>Y</v>
      </c>
      <c r="I12" s="7">
        <f>VLOOKUP(E12, '[1]מלאי תכשיטים'!$B$3:$E$26, 4, FALSE)</f>
        <v>1500</v>
      </c>
      <c r="J12" s="7">
        <f t="shared" si="4"/>
        <v>1755</v>
      </c>
      <c r="K12" s="10">
        <f t="shared" si="3"/>
        <v>75</v>
      </c>
      <c r="L12" s="22" cm="1">
        <f t="array" ref="L12">_xlfn.IFS(E12="", "", TRUE, J12-K12)</f>
        <v>1680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</row>
    <row r="13" spans="1:190" x14ac:dyDescent="0.35">
      <c r="A13" s="5" t="s">
        <v>43</v>
      </c>
      <c r="B13" s="27">
        <v>27695</v>
      </c>
      <c r="C13" s="6">
        <f t="shared" ca="1" si="0"/>
        <v>50</v>
      </c>
      <c r="D13" s="5" t="s">
        <v>15</v>
      </c>
      <c r="E13" s="5" t="s">
        <v>44</v>
      </c>
      <c r="F13" s="5" t="str">
        <f t="shared" si="5"/>
        <v>18</v>
      </c>
      <c r="G13" s="5" t="str">
        <f t="shared" si="1"/>
        <v>R</v>
      </c>
      <c r="H13" s="5" t="str">
        <f t="shared" si="2"/>
        <v>W</v>
      </c>
      <c r="I13" s="7">
        <f>VLOOKUP(E13, '[1]מלאי תכשיטים'!$B$3:$E$26, 4, FALSE)</f>
        <v>2900</v>
      </c>
      <c r="J13" s="7">
        <f t="shared" si="4"/>
        <v>3393</v>
      </c>
      <c r="K13" s="10">
        <f t="shared" si="3"/>
        <v>290</v>
      </c>
      <c r="L13" s="22" cm="1">
        <f t="array" ref="L13">_xlfn.IFS(E13="", "", TRUE, J13-K13)</f>
        <v>3103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</row>
    <row r="14" spans="1:190" x14ac:dyDescent="0.35">
      <c r="A14" s="5" t="s">
        <v>45</v>
      </c>
      <c r="B14" s="27">
        <v>34264</v>
      </c>
      <c r="C14" s="6">
        <f t="shared" ca="1" si="0"/>
        <v>32</v>
      </c>
      <c r="D14" s="5" t="s">
        <v>15</v>
      </c>
      <c r="E14" s="5" t="s">
        <v>42</v>
      </c>
      <c r="F14" s="5" t="str">
        <f t="shared" si="5"/>
        <v>24</v>
      </c>
      <c r="G14" s="5" t="str">
        <f t="shared" si="1"/>
        <v>N</v>
      </c>
      <c r="H14" s="5" t="str">
        <f t="shared" si="2"/>
        <v>Y</v>
      </c>
      <c r="I14" s="7">
        <f>VLOOKUP(E14, '[1]מלאי תכשיטים'!$B$3:$E$26, 4, FALSE)</f>
        <v>1500</v>
      </c>
      <c r="J14" s="7">
        <f t="shared" si="4"/>
        <v>1755</v>
      </c>
      <c r="K14" s="10">
        <f t="shared" si="3"/>
        <v>75</v>
      </c>
      <c r="L14" s="24" cm="1">
        <f t="array" ref="L14">_xlfn.IFS(E14="", "", TRUE, J14-K14)</f>
        <v>1680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</row>
    <row r="15" spans="1:190" x14ac:dyDescent="0.35">
      <c r="A15" s="5" t="s">
        <v>46</v>
      </c>
      <c r="B15" s="27">
        <v>31039</v>
      </c>
      <c r="C15" s="6">
        <f t="shared" ca="1" si="0"/>
        <v>40</v>
      </c>
      <c r="D15" s="5" t="s">
        <v>15</v>
      </c>
      <c r="E15" s="5" t="s">
        <v>47</v>
      </c>
      <c r="F15" s="5" t="str">
        <f t="shared" si="5"/>
        <v>14</v>
      </c>
      <c r="G15" s="5" t="str">
        <f t="shared" si="1"/>
        <v>R</v>
      </c>
      <c r="H15" s="5" t="str">
        <f t="shared" si="2"/>
        <v>P</v>
      </c>
      <c r="I15" s="7">
        <f>VLOOKUP(E15, '[1]מלאי תכשיטים'!$B$3:$E$26, 4, FALSE)</f>
        <v>2600</v>
      </c>
      <c r="J15" s="7">
        <f t="shared" si="4"/>
        <v>3042</v>
      </c>
      <c r="K15" s="10">
        <f t="shared" si="3"/>
        <v>260</v>
      </c>
      <c r="L15" s="22" cm="1">
        <f t="array" ref="L15">_xlfn.IFS(E15="", "", TRUE, J15-K15)</f>
        <v>2782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</row>
    <row r="16" spans="1:190" x14ac:dyDescent="0.35">
      <c r="A16" s="5" t="s">
        <v>48</v>
      </c>
      <c r="B16" s="27">
        <v>33075</v>
      </c>
      <c r="C16" s="6">
        <f t="shared" ca="1" si="0"/>
        <v>35</v>
      </c>
      <c r="D16" s="5" t="s">
        <v>15</v>
      </c>
      <c r="E16" s="5" t="s">
        <v>49</v>
      </c>
      <c r="F16" s="5" t="str">
        <f t="shared" si="5"/>
        <v>18</v>
      </c>
      <c r="G16" s="5" t="str">
        <f t="shared" si="1"/>
        <v>B</v>
      </c>
      <c r="H16" s="5" t="str">
        <f t="shared" si="2"/>
        <v>P</v>
      </c>
      <c r="I16" s="7">
        <f>VLOOKUP(E16, '[1]מלאי תכשיטים'!$B$3:$E$26, 4, FALSE)</f>
        <v>1300</v>
      </c>
      <c r="J16" s="7">
        <f t="shared" si="4"/>
        <v>1521</v>
      </c>
      <c r="K16" s="10">
        <f t="shared" si="3"/>
        <v>65</v>
      </c>
      <c r="L16" s="28" cm="1">
        <f t="array" ref="L16">_xlfn.IFS(E16="", "", TRUE, J16-K16)</f>
        <v>1456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</row>
    <row r="17" spans="1:189" x14ac:dyDescent="0.35">
      <c r="A17" s="5" t="s">
        <v>50</v>
      </c>
      <c r="B17" s="27">
        <v>30812</v>
      </c>
      <c r="C17" s="6">
        <f t="shared" ca="1" si="0"/>
        <v>41</v>
      </c>
      <c r="D17" s="5" t="s">
        <v>15</v>
      </c>
      <c r="E17" s="5" t="s">
        <v>51</v>
      </c>
      <c r="F17" s="5" t="str">
        <f t="shared" si="5"/>
        <v>24</v>
      </c>
      <c r="G17" s="5" t="str">
        <f t="shared" si="1"/>
        <v>E</v>
      </c>
      <c r="H17" s="5" t="str">
        <f t="shared" si="2"/>
        <v>Y</v>
      </c>
      <c r="I17" s="7">
        <f>VLOOKUP(E17, '[1]מלאי תכשיטים'!$B$3:$E$26, 4, FALSE)</f>
        <v>4200</v>
      </c>
      <c r="J17" s="7">
        <f t="shared" si="4"/>
        <v>4914</v>
      </c>
      <c r="K17" s="10">
        <f t="shared" si="3"/>
        <v>840</v>
      </c>
      <c r="L17" s="22" cm="1">
        <f t="array" ref="L17">_xlfn.IFS(E17="", "", TRUE, J17-K17)</f>
        <v>4074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</row>
    <row r="18" spans="1:189" x14ac:dyDescent="0.35">
      <c r="A18" s="5" t="s">
        <v>52</v>
      </c>
      <c r="B18" s="27">
        <v>32167</v>
      </c>
      <c r="C18" s="6">
        <f t="shared" ca="1" si="0"/>
        <v>37</v>
      </c>
      <c r="D18" s="5" t="s">
        <v>15</v>
      </c>
      <c r="E18" s="5" t="s">
        <v>53</v>
      </c>
      <c r="F18" s="5" t="str">
        <f t="shared" si="5"/>
        <v>24</v>
      </c>
      <c r="G18" s="5" t="str">
        <f t="shared" si="1"/>
        <v>R</v>
      </c>
      <c r="H18" s="5" t="str">
        <f t="shared" si="2"/>
        <v>W</v>
      </c>
      <c r="I18" s="7">
        <f>VLOOKUP(E18, '[1]מלאי תכשיטים'!$B$3:$E$26, 4, FALSE)</f>
        <v>3300</v>
      </c>
      <c r="J18" s="7">
        <f t="shared" si="4"/>
        <v>3861</v>
      </c>
      <c r="K18" s="10">
        <f t="shared" si="3"/>
        <v>495</v>
      </c>
      <c r="L18" s="24" cm="1">
        <f t="array" ref="L18">_xlfn.IFS(E18="", "", TRUE, J18-K18)</f>
        <v>3366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</row>
    <row r="19" spans="1:189" x14ac:dyDescent="0.35">
      <c r="A19" s="5" t="s">
        <v>54</v>
      </c>
      <c r="B19" s="27">
        <v>17886</v>
      </c>
      <c r="C19" s="6">
        <f t="shared" ca="1" si="0"/>
        <v>76</v>
      </c>
      <c r="D19" s="5" t="s">
        <v>24</v>
      </c>
      <c r="E19" s="5" t="s">
        <v>40</v>
      </c>
      <c r="F19" s="5" t="str">
        <f t="shared" si="5"/>
        <v>14</v>
      </c>
      <c r="G19" s="5" t="str">
        <f t="shared" si="1"/>
        <v>N</v>
      </c>
      <c r="H19" s="5" t="str">
        <f t="shared" si="2"/>
        <v>Y</v>
      </c>
      <c r="I19" s="7">
        <f>VLOOKUP(E19, '[1]מלאי תכשיטים'!$B$3:$E$26, 4, FALSE)</f>
        <v>900</v>
      </c>
      <c r="J19" s="7">
        <f t="shared" si="4"/>
        <v>1053</v>
      </c>
      <c r="K19" s="10">
        <f t="shared" si="3"/>
        <v>0</v>
      </c>
      <c r="L19" s="24" cm="1">
        <f t="array" ref="L19">_xlfn.IFS(E19="", "", TRUE, J19-K19)</f>
        <v>1053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</row>
    <row r="20" spans="1:189" x14ac:dyDescent="0.35">
      <c r="A20" s="12"/>
      <c r="B20" s="13"/>
      <c r="C20" s="14"/>
      <c r="D20" s="12"/>
      <c r="E20" s="12"/>
      <c r="F20" s="12"/>
      <c r="G20" s="12"/>
      <c r="H20" s="12"/>
      <c r="I20" s="15"/>
      <c r="J20" s="15"/>
      <c r="K20" s="15"/>
      <c r="L20" s="2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</row>
    <row r="21" spans="1:189" x14ac:dyDescent="0.35">
      <c r="A21" s="1"/>
      <c r="B21" s="13"/>
      <c r="C21" s="1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</row>
    <row r="22" spans="1:189" x14ac:dyDescent="0.35">
      <c r="A22" s="1"/>
      <c r="B22" s="1"/>
      <c r="C22" s="1"/>
      <c r="D22" s="1"/>
      <c r="E22" s="1"/>
      <c r="F22" s="1"/>
      <c r="G22" s="1"/>
      <c r="H22" s="4" t="s">
        <v>55</v>
      </c>
      <c r="I22" s="4" t="s">
        <v>56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</row>
    <row r="23" spans="1:189" x14ac:dyDescent="0.35">
      <c r="A23" s="49" t="s">
        <v>57</v>
      </c>
      <c r="B23" s="50"/>
      <c r="C23" s="46" t="s">
        <v>58</v>
      </c>
      <c r="D23" s="48"/>
      <c r="E23" s="19"/>
      <c r="F23" s="1"/>
      <c r="G23" s="1"/>
      <c r="H23" s="20">
        <v>0</v>
      </c>
      <c r="I23" s="21"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</row>
    <row r="24" spans="1:189" x14ac:dyDescent="0.35">
      <c r="A24" s="20" t="s">
        <v>59</v>
      </c>
      <c r="B24" s="22">
        <f xml:space="preserve"> AVERAGEIF(D3:D19, "ז",L3:L19)</f>
        <v>2445.4545454545455</v>
      </c>
      <c r="C24" s="46" t="s">
        <v>60</v>
      </c>
      <c r="D24" s="48"/>
      <c r="E24" s="1"/>
      <c r="F24" s="1"/>
      <c r="G24" s="1"/>
      <c r="H24" s="22">
        <v>1000</v>
      </c>
      <c r="I24" s="21">
        <v>0.05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</row>
    <row r="25" spans="1:189" x14ac:dyDescent="0.35">
      <c r="A25" s="20" t="s">
        <v>61</v>
      </c>
      <c r="B25" s="22">
        <f>SUMIF(D3:D19, "ז",L3:L19)</f>
        <v>26900</v>
      </c>
      <c r="C25" s="46" t="s">
        <v>62</v>
      </c>
      <c r="D25" s="48"/>
      <c r="E25" s="1"/>
      <c r="F25" s="1"/>
      <c r="G25" s="1"/>
      <c r="H25" s="22">
        <v>2000</v>
      </c>
      <c r="I25" s="21">
        <v>0.1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</row>
    <row r="26" spans="1:189" x14ac:dyDescent="0.35">
      <c r="A26" s="20" t="s">
        <v>63</v>
      </c>
      <c r="B26" s="20">
        <f>COUNTIF(D3:D19, "ז")</f>
        <v>11</v>
      </c>
      <c r="C26" s="46" t="s">
        <v>64</v>
      </c>
      <c r="D26" s="48"/>
      <c r="E26" s="1"/>
      <c r="F26" s="1"/>
      <c r="G26" s="1"/>
      <c r="H26" s="22">
        <v>3000</v>
      </c>
      <c r="I26" s="21">
        <v>0.15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</row>
    <row r="27" spans="1:189" x14ac:dyDescent="0.35">
      <c r="A27" s="1"/>
      <c r="B27" s="1"/>
      <c r="C27" s="1"/>
      <c r="D27" s="1"/>
      <c r="E27" s="1"/>
      <c r="F27" s="1"/>
      <c r="G27" s="1"/>
      <c r="H27" s="22">
        <v>4000</v>
      </c>
      <c r="I27" s="21">
        <v>0.2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</row>
    <row r="28" spans="1:18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</row>
    <row r="29" spans="1:189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</row>
    <row r="30" spans="1:189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</row>
    <row r="31" spans="1:189" x14ac:dyDescent="0.35">
      <c r="A31" s="49" t="s">
        <v>65</v>
      </c>
      <c r="B31" s="50"/>
      <c r="C31" s="46" t="s">
        <v>66</v>
      </c>
      <c r="D31" s="48"/>
      <c r="E31" s="1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</row>
    <row r="32" spans="1:189" x14ac:dyDescent="0.35">
      <c r="A32" s="20" t="s">
        <v>59</v>
      </c>
      <c r="B32" s="22">
        <f>AVERAGEIF(D3:D19, "נ", L3:L19)</f>
        <v>1796.8333333333333</v>
      </c>
      <c r="C32" s="46" t="s">
        <v>60</v>
      </c>
      <c r="D32" s="48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</row>
    <row r="33" spans="1:189" x14ac:dyDescent="0.35">
      <c r="A33" s="20" t="s">
        <v>61</v>
      </c>
      <c r="B33" s="22">
        <f>SUMIF(D3:D19, "נ", L3:L19)</f>
        <v>10781</v>
      </c>
      <c r="C33" s="46" t="s">
        <v>62</v>
      </c>
      <c r="D33" s="4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</row>
    <row r="34" spans="1:189" x14ac:dyDescent="0.35">
      <c r="A34" s="20" t="s">
        <v>63</v>
      </c>
      <c r="B34" s="20">
        <f>COUNTIF(D3:D19, "נ")</f>
        <v>6</v>
      </c>
      <c r="C34" s="46" t="s">
        <v>67</v>
      </c>
      <c r="D34" s="48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</row>
    <row r="35" spans="1:189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</row>
    <row r="36" spans="1:189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</row>
    <row r="37" spans="1:189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</row>
    <row r="38" spans="1:189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</row>
    <row r="39" spans="1:189" x14ac:dyDescent="0.35">
      <c r="A39" s="49" t="s">
        <v>68</v>
      </c>
      <c r="B39" s="5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</row>
    <row r="40" spans="1:189" x14ac:dyDescent="0.35">
      <c r="A40" s="23" t="s">
        <v>59</v>
      </c>
      <c r="B40" s="24">
        <f>AVERAGE(L3:L19)</f>
        <v>2216.5294117647059</v>
      </c>
      <c r="C40" s="46" t="s">
        <v>69</v>
      </c>
      <c r="D40" s="47"/>
      <c r="E40" s="4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</row>
    <row r="41" spans="1:189" x14ac:dyDescent="0.35">
      <c r="A41" s="20" t="s">
        <v>70</v>
      </c>
      <c r="B41" s="22">
        <f>MIN(L3:L19)</f>
        <v>936</v>
      </c>
      <c r="C41" s="46" t="s">
        <v>71</v>
      </c>
      <c r="D41" s="47"/>
      <c r="E41" s="4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</row>
    <row r="42" spans="1:189" x14ac:dyDescent="0.35">
      <c r="A42" s="20" t="s">
        <v>72</v>
      </c>
      <c r="B42" s="22">
        <f>MAX(L3:L19)</f>
        <v>4074</v>
      </c>
      <c r="C42" s="46" t="s">
        <v>73</v>
      </c>
      <c r="D42" s="47"/>
      <c r="E42" s="4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</row>
    <row r="43" spans="1:189" x14ac:dyDescent="0.35">
      <c r="A43" s="20" t="s">
        <v>63</v>
      </c>
      <c r="B43" s="20">
        <f>COUNT(I3:I19)</f>
        <v>17</v>
      </c>
      <c r="C43" s="46" t="s">
        <v>74</v>
      </c>
      <c r="D43" s="47"/>
      <c r="E43" s="4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</row>
    <row r="44" spans="1:189" x14ac:dyDescent="0.35">
      <c r="A44" s="20" t="s">
        <v>61</v>
      </c>
      <c r="B44" s="22">
        <f>SUM(L3:L19)</f>
        <v>37681</v>
      </c>
      <c r="C44" s="46" t="s">
        <v>75</v>
      </c>
      <c r="D44" s="47"/>
      <c r="E44" s="4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</row>
    <row r="45" spans="1:189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</row>
    <row r="46" spans="1:189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  <c r="FG46" s="25"/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</row>
    <row r="47" spans="1:189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</row>
    <row r="48" spans="1:189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  <c r="FG48" s="25"/>
      <c r="FH48" s="25"/>
      <c r="FI48" s="25"/>
      <c r="FJ48" s="25"/>
      <c r="FK48" s="25"/>
      <c r="FL48" s="25"/>
      <c r="FM48" s="25"/>
      <c r="FN48" s="25"/>
      <c r="FO48" s="25"/>
      <c r="FP48" s="25"/>
      <c r="FQ48" s="25"/>
      <c r="FR48" s="25"/>
      <c r="FS48" s="25"/>
      <c r="FT48" s="25"/>
      <c r="FU48" s="25"/>
      <c r="FV48" s="25"/>
      <c r="FW48" s="25"/>
      <c r="FX48" s="25"/>
      <c r="FY48" s="25"/>
      <c r="FZ48" s="25"/>
      <c r="GA48" s="25"/>
      <c r="GB48" s="25"/>
      <c r="GC48" s="25"/>
      <c r="GD48" s="25"/>
      <c r="GE48" s="25"/>
      <c r="GF48" s="25"/>
      <c r="GG48" s="25"/>
    </row>
    <row r="49" spans="1:189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  <c r="FK49" s="25"/>
      <c r="FL49" s="25"/>
      <c r="FM49" s="25"/>
      <c r="FN49" s="25"/>
      <c r="FO49" s="25"/>
      <c r="FP49" s="25"/>
      <c r="FQ49" s="25"/>
      <c r="FR49" s="25"/>
      <c r="FS49" s="25"/>
      <c r="FT49" s="25"/>
      <c r="FU49" s="25"/>
      <c r="FV49" s="25"/>
      <c r="FW49" s="25"/>
      <c r="FX49" s="25"/>
      <c r="FY49" s="25"/>
      <c r="FZ49" s="25"/>
      <c r="GA49" s="25"/>
      <c r="GB49" s="25"/>
      <c r="GC49" s="25"/>
      <c r="GD49" s="25"/>
      <c r="GE49" s="25"/>
      <c r="GF49" s="25"/>
      <c r="GG49" s="25"/>
    </row>
    <row r="50" spans="1:189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</row>
    <row r="51" spans="1:189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</row>
    <row r="52" spans="1:189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</row>
    <row r="53" spans="1:189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</row>
    <row r="54" spans="1:189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/>
      <c r="EY54" s="25"/>
      <c r="EZ54" s="25"/>
      <c r="FA54" s="25"/>
      <c r="FB54" s="25"/>
      <c r="FC54" s="25"/>
      <c r="FD54" s="25"/>
      <c r="FE54" s="25"/>
      <c r="FF54" s="25"/>
      <c r="FG54" s="25"/>
      <c r="FH54" s="25"/>
      <c r="FI54" s="25"/>
      <c r="FJ54" s="25"/>
      <c r="FK54" s="25"/>
      <c r="FL54" s="25"/>
      <c r="FM54" s="25"/>
      <c r="FN54" s="25"/>
      <c r="FO54" s="25"/>
      <c r="FP54" s="25"/>
      <c r="FQ54" s="25"/>
      <c r="FR54" s="25"/>
      <c r="FS54" s="25"/>
      <c r="FT54" s="25"/>
      <c r="FU54" s="25"/>
      <c r="FV54" s="25"/>
      <c r="FW54" s="25"/>
      <c r="FX54" s="25"/>
      <c r="FY54" s="25"/>
      <c r="FZ54" s="25"/>
      <c r="GA54" s="25"/>
      <c r="GB54" s="25"/>
      <c r="GC54" s="25"/>
      <c r="GD54" s="25"/>
      <c r="GE54" s="25"/>
      <c r="GF54" s="25"/>
      <c r="GG54" s="25"/>
    </row>
    <row r="55" spans="1:189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5"/>
      <c r="EY55" s="25"/>
      <c r="EZ55" s="25"/>
      <c r="FA55" s="25"/>
      <c r="FB55" s="25"/>
      <c r="FC55" s="25"/>
      <c r="FD55" s="25"/>
      <c r="FE55" s="25"/>
      <c r="FF55" s="25"/>
      <c r="FG55" s="25"/>
      <c r="FH55" s="25"/>
      <c r="FI55" s="25"/>
      <c r="FJ55" s="25"/>
      <c r="FK55" s="25"/>
      <c r="FL55" s="25"/>
      <c r="FM55" s="25"/>
      <c r="FN55" s="25"/>
      <c r="FO55" s="25"/>
      <c r="FP55" s="25"/>
      <c r="FQ55" s="25"/>
      <c r="FR55" s="25"/>
      <c r="FS55" s="25"/>
      <c r="FT55" s="25"/>
      <c r="FU55" s="25"/>
      <c r="FV55" s="25"/>
      <c r="FW55" s="25"/>
      <c r="FX55" s="25"/>
      <c r="FY55" s="25"/>
      <c r="FZ55" s="25"/>
      <c r="GA55" s="25"/>
      <c r="GB55" s="25"/>
      <c r="GC55" s="25"/>
      <c r="GD55" s="25"/>
      <c r="GE55" s="25"/>
      <c r="GF55" s="25"/>
      <c r="GG55" s="25"/>
    </row>
    <row r="56" spans="1:189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5"/>
      <c r="FG56" s="25"/>
      <c r="FH56" s="25"/>
      <c r="FI56" s="25"/>
      <c r="FJ56" s="25"/>
      <c r="FK56" s="25"/>
      <c r="FL56" s="25"/>
      <c r="FM56" s="25"/>
      <c r="FN56" s="25"/>
      <c r="FO56" s="25"/>
      <c r="FP56" s="25"/>
      <c r="FQ56" s="25"/>
      <c r="FR56" s="25"/>
      <c r="FS56" s="25"/>
      <c r="FT56" s="25"/>
      <c r="FU56" s="25"/>
      <c r="FV56" s="25"/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</row>
    <row r="57" spans="1:189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5"/>
      <c r="FG57" s="25"/>
      <c r="FH57" s="25"/>
      <c r="FI57" s="25"/>
      <c r="FJ57" s="25"/>
      <c r="FK57" s="25"/>
      <c r="FL57" s="25"/>
      <c r="FM57" s="25"/>
      <c r="FN57" s="25"/>
      <c r="FO57" s="25"/>
      <c r="FP57" s="25"/>
      <c r="FQ57" s="25"/>
      <c r="FR57" s="25"/>
      <c r="FS57" s="25"/>
      <c r="FT57" s="25"/>
      <c r="FU57" s="25"/>
      <c r="FV57" s="25"/>
      <c r="FW57" s="25"/>
      <c r="FX57" s="25"/>
      <c r="FY57" s="25"/>
      <c r="FZ57" s="25"/>
      <c r="GA57" s="25"/>
      <c r="GB57" s="25"/>
      <c r="GC57" s="25"/>
      <c r="GD57" s="25"/>
      <c r="GE57" s="25"/>
      <c r="GF57" s="25"/>
      <c r="GG57" s="25"/>
    </row>
    <row r="58" spans="1:189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</row>
    <row r="59" spans="1:189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5"/>
      <c r="FG59" s="25"/>
      <c r="FH59" s="25"/>
      <c r="FI59" s="25"/>
      <c r="FJ59" s="25"/>
      <c r="FK59" s="25"/>
      <c r="FL59" s="25"/>
      <c r="FM59" s="25"/>
      <c r="FN59" s="25"/>
      <c r="FO59" s="25"/>
      <c r="FP59" s="25"/>
      <c r="FQ59" s="25"/>
      <c r="FR59" s="25"/>
      <c r="FS59" s="25"/>
      <c r="FT59" s="25"/>
      <c r="FU59" s="25"/>
      <c r="FV59" s="25"/>
      <c r="FW59" s="25"/>
      <c r="FX59" s="25"/>
      <c r="FY59" s="25"/>
      <c r="FZ59" s="25"/>
      <c r="GA59" s="25"/>
      <c r="GB59" s="25"/>
      <c r="GC59" s="25"/>
      <c r="GD59" s="25"/>
      <c r="GE59" s="25"/>
      <c r="GF59" s="25"/>
      <c r="GG59" s="25"/>
    </row>
    <row r="60" spans="1:189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5"/>
      <c r="EY60" s="25"/>
      <c r="EZ60" s="25"/>
      <c r="FA60" s="25"/>
      <c r="FB60" s="25"/>
      <c r="FC60" s="25"/>
      <c r="FD60" s="25"/>
      <c r="FE60" s="25"/>
      <c r="FF60" s="25"/>
      <c r="FG60" s="25"/>
      <c r="FH60" s="25"/>
      <c r="FI60" s="25"/>
      <c r="FJ60" s="25"/>
      <c r="FK60" s="25"/>
      <c r="FL60" s="25"/>
      <c r="FM60" s="25"/>
      <c r="FN60" s="25"/>
      <c r="FO60" s="25"/>
      <c r="FP60" s="25"/>
      <c r="FQ60" s="25"/>
      <c r="FR60" s="25"/>
      <c r="FS60" s="25"/>
      <c r="FT60" s="25"/>
      <c r="FU60" s="25"/>
      <c r="FV60" s="25"/>
      <c r="FW60" s="25"/>
      <c r="FX60" s="25"/>
      <c r="FY60" s="25"/>
      <c r="FZ60" s="25"/>
      <c r="GA60" s="25"/>
      <c r="GB60" s="25"/>
      <c r="GC60" s="25"/>
      <c r="GD60" s="25"/>
      <c r="GE60" s="25"/>
      <c r="GF60" s="25"/>
      <c r="GG60" s="25"/>
    </row>
    <row r="61" spans="1:189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5"/>
      <c r="FG61" s="25"/>
      <c r="FH61" s="25"/>
      <c r="FI61" s="25"/>
      <c r="FJ61" s="25"/>
      <c r="FK61" s="25"/>
      <c r="FL61" s="25"/>
      <c r="FM61" s="25"/>
      <c r="FN61" s="25"/>
      <c r="FO61" s="25"/>
      <c r="FP61" s="25"/>
      <c r="FQ61" s="25"/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</row>
    <row r="62" spans="1:189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</row>
    <row r="63" spans="1:189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5"/>
      <c r="FG63" s="25"/>
      <c r="FH63" s="25"/>
      <c r="FI63" s="25"/>
      <c r="FJ63" s="25"/>
      <c r="FK63" s="25"/>
      <c r="FL63" s="25"/>
      <c r="FM63" s="25"/>
      <c r="FN63" s="25"/>
      <c r="FO63" s="25"/>
      <c r="FP63" s="25"/>
      <c r="FQ63" s="25"/>
      <c r="FR63" s="25"/>
      <c r="FS63" s="25"/>
      <c r="FT63" s="25"/>
      <c r="FU63" s="25"/>
      <c r="FV63" s="25"/>
      <c r="FW63" s="25"/>
      <c r="FX63" s="25"/>
      <c r="FY63" s="25"/>
      <c r="FZ63" s="25"/>
      <c r="GA63" s="25"/>
      <c r="GB63" s="25"/>
      <c r="GC63" s="25"/>
      <c r="GD63" s="25"/>
      <c r="GE63" s="25"/>
      <c r="GF63" s="25"/>
      <c r="GG63" s="25"/>
    </row>
    <row r="64" spans="1:189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5"/>
      <c r="EY64" s="25"/>
      <c r="EZ64" s="25"/>
      <c r="FA64" s="25"/>
      <c r="FB64" s="25"/>
      <c r="FC64" s="25"/>
      <c r="FD64" s="25"/>
      <c r="FE64" s="25"/>
      <c r="FF64" s="25"/>
      <c r="FG64" s="25"/>
      <c r="FH64" s="25"/>
      <c r="FI64" s="25"/>
      <c r="FJ64" s="25"/>
      <c r="FK64" s="25"/>
      <c r="FL64" s="25"/>
      <c r="FM64" s="25"/>
      <c r="FN64" s="25"/>
      <c r="FO64" s="25"/>
      <c r="FP64" s="25"/>
      <c r="FQ64" s="25"/>
      <c r="FR64" s="25"/>
      <c r="FS64" s="25"/>
      <c r="FT64" s="25"/>
      <c r="FU64" s="25"/>
      <c r="FV64" s="25"/>
      <c r="FW64" s="25"/>
      <c r="FX64" s="25"/>
      <c r="FY64" s="25"/>
      <c r="FZ64" s="25"/>
      <c r="GA64" s="25"/>
      <c r="GB64" s="25"/>
      <c r="GC64" s="25"/>
      <c r="GD64" s="25"/>
      <c r="GE64" s="25"/>
      <c r="GF64" s="25"/>
      <c r="GG64" s="25"/>
    </row>
    <row r="65" spans="1:189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5"/>
      <c r="FG65" s="25"/>
      <c r="FH65" s="25"/>
      <c r="FI65" s="25"/>
      <c r="FJ65" s="25"/>
      <c r="FK65" s="25"/>
      <c r="FL65" s="25"/>
      <c r="FM65" s="25"/>
      <c r="FN65" s="25"/>
      <c r="FO65" s="25"/>
      <c r="FP65" s="25"/>
      <c r="FQ65" s="25"/>
      <c r="FR65" s="25"/>
      <c r="FS65" s="25"/>
      <c r="FT65" s="25"/>
      <c r="FU65" s="25"/>
      <c r="FV65" s="25"/>
      <c r="FW65" s="25"/>
      <c r="FX65" s="25"/>
      <c r="FY65" s="25"/>
      <c r="FZ65" s="25"/>
      <c r="GA65" s="25"/>
      <c r="GB65" s="25"/>
      <c r="GC65" s="25"/>
      <c r="GD65" s="25"/>
      <c r="GE65" s="25"/>
      <c r="GF65" s="25"/>
      <c r="GG65" s="25"/>
    </row>
    <row r="66" spans="1:189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25"/>
      <c r="FG66" s="25"/>
      <c r="FH66" s="25"/>
      <c r="FI66" s="25"/>
      <c r="FJ66" s="25"/>
      <c r="FK66" s="25"/>
      <c r="FL66" s="25"/>
      <c r="FM66" s="25"/>
      <c r="FN66" s="25"/>
      <c r="FO66" s="25"/>
      <c r="FP66" s="25"/>
      <c r="FQ66" s="25"/>
      <c r="FR66" s="25"/>
      <c r="FS66" s="25"/>
      <c r="FT66" s="25"/>
      <c r="FU66" s="25"/>
      <c r="FV66" s="25"/>
      <c r="FW66" s="25"/>
      <c r="FX66" s="25"/>
      <c r="FY66" s="25"/>
      <c r="FZ66" s="25"/>
      <c r="GA66" s="25"/>
      <c r="GB66" s="25"/>
      <c r="GC66" s="25"/>
      <c r="GD66" s="25"/>
      <c r="GE66" s="25"/>
      <c r="GF66" s="25"/>
      <c r="GG66" s="25"/>
    </row>
    <row r="67" spans="1:189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</row>
    <row r="68" spans="1:189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</row>
    <row r="69" spans="1:189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5"/>
      <c r="FG69" s="25"/>
      <c r="FH69" s="25"/>
      <c r="FI69" s="25"/>
      <c r="FJ69" s="25"/>
      <c r="FK69" s="25"/>
      <c r="FL69" s="25"/>
      <c r="FM69" s="25"/>
      <c r="FN69" s="25"/>
      <c r="FO69" s="25"/>
      <c r="FP69" s="25"/>
      <c r="FQ69" s="25"/>
      <c r="FR69" s="25"/>
      <c r="FS69" s="25"/>
      <c r="FT69" s="25"/>
      <c r="FU69" s="25"/>
      <c r="FV69" s="25"/>
      <c r="FW69" s="25"/>
      <c r="FX69" s="25"/>
      <c r="FY69" s="25"/>
      <c r="FZ69" s="25"/>
      <c r="GA69" s="25"/>
      <c r="GB69" s="25"/>
      <c r="GC69" s="25"/>
      <c r="GD69" s="25"/>
      <c r="GE69" s="25"/>
      <c r="GF69" s="25"/>
      <c r="GG69" s="25"/>
    </row>
    <row r="70" spans="1:189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25"/>
      <c r="GG70" s="25"/>
    </row>
    <row r="71" spans="1:189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</row>
    <row r="72" spans="1:189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5"/>
      <c r="EY72" s="25"/>
      <c r="EZ72" s="25"/>
      <c r="FA72" s="25"/>
      <c r="FB72" s="25"/>
      <c r="FC72" s="25"/>
      <c r="FD72" s="25"/>
      <c r="FE72" s="25"/>
      <c r="FF72" s="25"/>
      <c r="FG72" s="25"/>
      <c r="FH72" s="25"/>
      <c r="FI72" s="25"/>
      <c r="FJ72" s="25"/>
      <c r="FK72" s="25"/>
      <c r="FL72" s="25"/>
      <c r="FM72" s="25"/>
      <c r="FN72" s="25"/>
      <c r="FO72" s="25"/>
      <c r="FP72" s="25"/>
      <c r="FQ72" s="25"/>
      <c r="FR72" s="25"/>
      <c r="FS72" s="25"/>
      <c r="FT72" s="25"/>
      <c r="FU72" s="25"/>
      <c r="FV72" s="25"/>
      <c r="FW72" s="25"/>
      <c r="FX72" s="25"/>
      <c r="FY72" s="25"/>
      <c r="FZ72" s="25"/>
      <c r="GA72" s="25"/>
      <c r="GB72" s="25"/>
      <c r="GC72" s="25"/>
      <c r="GD72" s="25"/>
      <c r="GE72" s="25"/>
      <c r="GF72" s="25"/>
      <c r="GG72" s="25"/>
    </row>
    <row r="73" spans="1:189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5"/>
      <c r="EY73" s="25"/>
      <c r="EZ73" s="25"/>
      <c r="FA73" s="25"/>
      <c r="FB73" s="25"/>
      <c r="FC73" s="25"/>
      <c r="FD73" s="25"/>
      <c r="FE73" s="25"/>
      <c r="FF73" s="25"/>
      <c r="FG73" s="25"/>
      <c r="FH73" s="25"/>
      <c r="FI73" s="25"/>
      <c r="FJ73" s="25"/>
      <c r="FK73" s="25"/>
      <c r="FL73" s="25"/>
      <c r="FM73" s="25"/>
      <c r="FN73" s="25"/>
      <c r="FO73" s="25"/>
      <c r="FP73" s="25"/>
      <c r="FQ73" s="25"/>
      <c r="FR73" s="25"/>
      <c r="FS73" s="25"/>
      <c r="FT73" s="25"/>
      <c r="FU73" s="25"/>
      <c r="FV73" s="25"/>
      <c r="FW73" s="25"/>
      <c r="FX73" s="25"/>
      <c r="FY73" s="25"/>
      <c r="FZ73" s="25"/>
      <c r="GA73" s="25"/>
      <c r="GB73" s="25"/>
      <c r="GC73" s="25"/>
      <c r="GD73" s="25"/>
      <c r="GE73" s="25"/>
      <c r="GF73" s="25"/>
      <c r="GG73" s="25"/>
    </row>
    <row r="74" spans="1:189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5"/>
      <c r="EY74" s="25"/>
      <c r="EZ74" s="25"/>
      <c r="FA74" s="25"/>
      <c r="FB74" s="25"/>
      <c r="FC74" s="25"/>
      <c r="FD74" s="25"/>
      <c r="FE74" s="25"/>
      <c r="FF74" s="25"/>
      <c r="FG74" s="25"/>
      <c r="FH74" s="25"/>
      <c r="FI74" s="25"/>
      <c r="FJ74" s="25"/>
      <c r="FK74" s="25"/>
      <c r="FL74" s="25"/>
      <c r="FM74" s="25"/>
      <c r="FN74" s="25"/>
      <c r="FO74" s="25"/>
      <c r="FP74" s="25"/>
      <c r="FQ74" s="25"/>
      <c r="FR74" s="25"/>
      <c r="FS74" s="25"/>
      <c r="FT74" s="25"/>
      <c r="FU74" s="25"/>
      <c r="FV74" s="25"/>
      <c r="FW74" s="25"/>
      <c r="FX74" s="25"/>
      <c r="FY74" s="25"/>
      <c r="FZ74" s="25"/>
      <c r="GA74" s="25"/>
      <c r="GB74" s="25"/>
      <c r="GC74" s="25"/>
      <c r="GD74" s="25"/>
      <c r="GE74" s="25"/>
      <c r="GF74" s="25"/>
      <c r="GG74" s="25"/>
    </row>
    <row r="75" spans="1:189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5"/>
      <c r="EY75" s="25"/>
      <c r="EZ75" s="25"/>
      <c r="FA75" s="25"/>
      <c r="FB75" s="25"/>
      <c r="FC75" s="25"/>
      <c r="FD75" s="25"/>
      <c r="FE75" s="25"/>
      <c r="FF75" s="25"/>
      <c r="FG75" s="25"/>
      <c r="FH75" s="25"/>
      <c r="FI75" s="25"/>
      <c r="FJ75" s="25"/>
      <c r="FK75" s="25"/>
      <c r="FL75" s="25"/>
      <c r="FM75" s="25"/>
      <c r="FN75" s="25"/>
      <c r="FO75" s="25"/>
      <c r="FP75" s="25"/>
      <c r="FQ75" s="25"/>
      <c r="FR75" s="25"/>
      <c r="FS75" s="25"/>
      <c r="FT75" s="25"/>
      <c r="FU75" s="25"/>
      <c r="FV75" s="25"/>
      <c r="FW75" s="25"/>
      <c r="FX75" s="25"/>
      <c r="FY75" s="25"/>
      <c r="FZ75" s="25"/>
      <c r="GA75" s="25"/>
      <c r="GB75" s="25"/>
      <c r="GC75" s="25"/>
      <c r="GD75" s="25"/>
      <c r="GE75" s="25"/>
      <c r="GF75" s="25"/>
      <c r="GG75" s="25"/>
    </row>
    <row r="76" spans="1:189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5"/>
      <c r="EY76" s="25"/>
      <c r="EZ76" s="25"/>
      <c r="FA76" s="25"/>
      <c r="FB76" s="25"/>
      <c r="FC76" s="25"/>
      <c r="FD76" s="25"/>
      <c r="FE76" s="25"/>
      <c r="FF76" s="25"/>
      <c r="FG76" s="25"/>
      <c r="FH76" s="25"/>
      <c r="FI76" s="25"/>
      <c r="FJ76" s="25"/>
      <c r="FK76" s="25"/>
      <c r="FL76" s="25"/>
      <c r="FM76" s="25"/>
      <c r="FN76" s="25"/>
      <c r="FO76" s="25"/>
      <c r="FP76" s="25"/>
      <c r="FQ76" s="25"/>
      <c r="FR76" s="25"/>
      <c r="FS76" s="25"/>
      <c r="FT76" s="25"/>
      <c r="FU76" s="25"/>
      <c r="FV76" s="25"/>
      <c r="FW76" s="25"/>
      <c r="FX76" s="25"/>
      <c r="FY76" s="25"/>
      <c r="FZ76" s="25"/>
      <c r="GA76" s="25"/>
      <c r="GB76" s="25"/>
      <c r="GC76" s="25"/>
      <c r="GD76" s="25"/>
      <c r="GE76" s="25"/>
      <c r="GF76" s="25"/>
      <c r="GG76" s="25"/>
    </row>
    <row r="77" spans="1:189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/>
      <c r="EY77" s="25"/>
      <c r="EZ77" s="25"/>
      <c r="FA77" s="25"/>
      <c r="FB77" s="25"/>
      <c r="FC77" s="25"/>
      <c r="FD77" s="25"/>
      <c r="FE77" s="25"/>
      <c r="FF77" s="25"/>
      <c r="FG77" s="25"/>
      <c r="FH77" s="25"/>
      <c r="FI77" s="25"/>
      <c r="FJ77" s="25"/>
      <c r="FK77" s="25"/>
      <c r="FL77" s="25"/>
      <c r="FM77" s="25"/>
      <c r="FN77" s="25"/>
      <c r="FO77" s="25"/>
      <c r="FP77" s="25"/>
      <c r="FQ77" s="25"/>
      <c r="FR77" s="25"/>
      <c r="FS77" s="25"/>
      <c r="FT77" s="25"/>
      <c r="FU77" s="25"/>
      <c r="FV77" s="25"/>
      <c r="FW77" s="25"/>
      <c r="FX77" s="25"/>
      <c r="FY77" s="25"/>
      <c r="FZ77" s="25"/>
      <c r="GA77" s="25"/>
      <c r="GB77" s="25"/>
      <c r="GC77" s="25"/>
      <c r="GD77" s="25"/>
      <c r="GE77" s="25"/>
      <c r="GF77" s="25"/>
      <c r="GG77" s="25"/>
    </row>
    <row r="78" spans="1:189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5"/>
      <c r="EY78" s="25"/>
      <c r="EZ78" s="25"/>
      <c r="FA78" s="25"/>
      <c r="FB78" s="25"/>
      <c r="FC78" s="25"/>
      <c r="FD78" s="25"/>
      <c r="FE78" s="25"/>
      <c r="FF78" s="25"/>
      <c r="FG78" s="25"/>
      <c r="FH78" s="25"/>
      <c r="FI78" s="25"/>
      <c r="FJ78" s="25"/>
      <c r="FK78" s="25"/>
      <c r="FL78" s="25"/>
      <c r="FM78" s="25"/>
      <c r="FN78" s="25"/>
      <c r="FO78" s="25"/>
      <c r="FP78" s="25"/>
      <c r="FQ78" s="25"/>
      <c r="FR78" s="25"/>
      <c r="FS78" s="25"/>
      <c r="FT78" s="25"/>
      <c r="FU78" s="25"/>
      <c r="FV78" s="25"/>
      <c r="FW78" s="25"/>
      <c r="FX78" s="25"/>
      <c r="FY78" s="25"/>
      <c r="FZ78" s="25"/>
      <c r="GA78" s="25"/>
      <c r="GB78" s="25"/>
      <c r="GC78" s="25"/>
      <c r="GD78" s="25"/>
      <c r="GE78" s="25"/>
      <c r="GF78" s="25"/>
      <c r="GG78" s="25"/>
    </row>
    <row r="79" spans="1:189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5"/>
      <c r="FG79" s="25"/>
      <c r="FH79" s="25"/>
      <c r="FI79" s="25"/>
      <c r="FJ79" s="25"/>
      <c r="FK79" s="25"/>
      <c r="FL79" s="25"/>
      <c r="FM79" s="25"/>
      <c r="FN79" s="25"/>
      <c r="FO79" s="25"/>
      <c r="FP79" s="25"/>
      <c r="FQ79" s="25"/>
      <c r="FR79" s="25"/>
      <c r="FS79" s="25"/>
      <c r="FT79" s="25"/>
      <c r="FU79" s="25"/>
      <c r="FV79" s="25"/>
      <c r="FW79" s="25"/>
      <c r="FX79" s="25"/>
      <c r="FY79" s="25"/>
      <c r="FZ79" s="25"/>
      <c r="GA79" s="25"/>
      <c r="GB79" s="25"/>
      <c r="GC79" s="25"/>
      <c r="GD79" s="25"/>
      <c r="GE79" s="25"/>
      <c r="GF79" s="25"/>
      <c r="GG79" s="25"/>
    </row>
    <row r="80" spans="1:189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5"/>
      <c r="EY80" s="25"/>
      <c r="EZ80" s="25"/>
      <c r="FA80" s="25"/>
      <c r="FB80" s="25"/>
      <c r="FC80" s="25"/>
      <c r="FD80" s="25"/>
      <c r="FE80" s="25"/>
      <c r="FF80" s="25"/>
      <c r="FG80" s="25"/>
      <c r="FH80" s="25"/>
      <c r="FI80" s="25"/>
      <c r="FJ80" s="25"/>
      <c r="FK80" s="25"/>
      <c r="FL80" s="25"/>
      <c r="FM80" s="25"/>
      <c r="FN80" s="25"/>
      <c r="FO80" s="25"/>
      <c r="FP80" s="25"/>
      <c r="FQ80" s="25"/>
      <c r="FR80" s="25"/>
      <c r="FS80" s="25"/>
      <c r="FT80" s="25"/>
      <c r="FU80" s="25"/>
      <c r="FV80" s="25"/>
      <c r="FW80" s="25"/>
      <c r="FX80" s="25"/>
      <c r="FY80" s="25"/>
      <c r="FZ80" s="25"/>
      <c r="GA80" s="25"/>
      <c r="GB80" s="25"/>
      <c r="GC80" s="25"/>
      <c r="GD80" s="25"/>
      <c r="GE80" s="25"/>
      <c r="GF80" s="25"/>
      <c r="GG80" s="25"/>
    </row>
    <row r="81" spans="1:189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5"/>
      <c r="EY81" s="25"/>
      <c r="EZ81" s="25"/>
      <c r="FA81" s="25"/>
      <c r="FB81" s="25"/>
      <c r="FC81" s="25"/>
      <c r="FD81" s="25"/>
      <c r="FE81" s="25"/>
      <c r="FF81" s="25"/>
      <c r="FG81" s="25"/>
      <c r="FH81" s="25"/>
      <c r="FI81" s="25"/>
      <c r="FJ81" s="25"/>
      <c r="FK81" s="25"/>
      <c r="FL81" s="25"/>
      <c r="FM81" s="25"/>
      <c r="FN81" s="25"/>
      <c r="FO81" s="25"/>
      <c r="FP81" s="25"/>
      <c r="FQ81" s="25"/>
      <c r="FR81" s="25"/>
      <c r="FS81" s="25"/>
      <c r="FT81" s="25"/>
      <c r="FU81" s="25"/>
      <c r="FV81" s="25"/>
      <c r="FW81" s="25"/>
      <c r="FX81" s="25"/>
      <c r="FY81" s="25"/>
      <c r="FZ81" s="25"/>
      <c r="GA81" s="25"/>
      <c r="GB81" s="25"/>
      <c r="GC81" s="25"/>
      <c r="GD81" s="25"/>
      <c r="GE81" s="25"/>
      <c r="GF81" s="25"/>
      <c r="GG81" s="25"/>
    </row>
    <row r="82" spans="1:189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5"/>
      <c r="EY82" s="25"/>
      <c r="EZ82" s="25"/>
      <c r="FA82" s="25"/>
      <c r="FB82" s="25"/>
      <c r="FC82" s="25"/>
      <c r="FD82" s="25"/>
      <c r="FE82" s="25"/>
      <c r="FF82" s="25"/>
      <c r="FG82" s="25"/>
      <c r="FH82" s="25"/>
      <c r="FI82" s="25"/>
      <c r="FJ82" s="25"/>
      <c r="FK82" s="25"/>
      <c r="FL82" s="25"/>
      <c r="FM82" s="25"/>
      <c r="FN82" s="25"/>
      <c r="FO82" s="25"/>
      <c r="FP82" s="25"/>
      <c r="FQ82" s="25"/>
      <c r="FR82" s="25"/>
      <c r="FS82" s="25"/>
      <c r="FT82" s="25"/>
      <c r="FU82" s="25"/>
      <c r="FV82" s="25"/>
      <c r="FW82" s="25"/>
      <c r="FX82" s="25"/>
      <c r="FY82" s="25"/>
      <c r="FZ82" s="25"/>
      <c r="GA82" s="25"/>
      <c r="GB82" s="25"/>
      <c r="GC82" s="25"/>
      <c r="GD82" s="25"/>
      <c r="GE82" s="25"/>
      <c r="GF82" s="25"/>
      <c r="GG82" s="25"/>
    </row>
    <row r="83" spans="1:189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/>
      <c r="EY83" s="25"/>
      <c r="EZ83" s="25"/>
      <c r="FA83" s="25"/>
      <c r="FB83" s="25"/>
      <c r="FC83" s="25"/>
      <c r="FD83" s="25"/>
      <c r="FE83" s="25"/>
      <c r="FF83" s="25"/>
      <c r="FG83" s="25"/>
      <c r="FH83" s="25"/>
      <c r="FI83" s="25"/>
      <c r="FJ83" s="25"/>
      <c r="FK83" s="25"/>
      <c r="FL83" s="25"/>
      <c r="FM83" s="25"/>
      <c r="FN83" s="25"/>
      <c r="FO83" s="25"/>
      <c r="FP83" s="25"/>
      <c r="FQ83" s="25"/>
      <c r="FR83" s="25"/>
      <c r="FS83" s="25"/>
      <c r="FT83" s="25"/>
      <c r="FU83" s="25"/>
      <c r="FV83" s="25"/>
      <c r="FW83" s="25"/>
      <c r="FX83" s="25"/>
      <c r="FY83" s="25"/>
      <c r="FZ83" s="25"/>
      <c r="GA83" s="25"/>
      <c r="GB83" s="25"/>
      <c r="GC83" s="25"/>
      <c r="GD83" s="25"/>
      <c r="GE83" s="25"/>
      <c r="GF83" s="25"/>
      <c r="GG83" s="25"/>
    </row>
    <row r="84" spans="1:189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5"/>
      <c r="FG84" s="25"/>
      <c r="FH84" s="25"/>
      <c r="FI84" s="25"/>
      <c r="FJ84" s="25"/>
      <c r="FK84" s="25"/>
      <c r="FL84" s="25"/>
      <c r="FM84" s="25"/>
      <c r="FN84" s="25"/>
      <c r="FO84" s="25"/>
      <c r="FP84" s="25"/>
      <c r="FQ84" s="25"/>
      <c r="FR84" s="25"/>
      <c r="FS84" s="25"/>
      <c r="FT84" s="25"/>
      <c r="FU84" s="25"/>
      <c r="FV84" s="25"/>
      <c r="FW84" s="25"/>
      <c r="FX84" s="25"/>
      <c r="FY84" s="25"/>
      <c r="FZ84" s="25"/>
      <c r="GA84" s="25"/>
      <c r="GB84" s="25"/>
      <c r="GC84" s="25"/>
      <c r="GD84" s="25"/>
      <c r="GE84" s="25"/>
      <c r="GF84" s="25"/>
      <c r="GG84" s="25"/>
    </row>
    <row r="85" spans="1:189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5"/>
      <c r="EY85" s="25"/>
      <c r="EZ85" s="25"/>
      <c r="FA85" s="25"/>
      <c r="FB85" s="25"/>
      <c r="FC85" s="25"/>
      <c r="FD85" s="25"/>
      <c r="FE85" s="25"/>
      <c r="FF85" s="25"/>
      <c r="FG85" s="25"/>
      <c r="FH85" s="25"/>
      <c r="FI85" s="25"/>
      <c r="FJ85" s="25"/>
      <c r="FK85" s="25"/>
      <c r="FL85" s="25"/>
      <c r="FM85" s="25"/>
      <c r="FN85" s="25"/>
      <c r="FO85" s="25"/>
      <c r="FP85" s="25"/>
      <c r="FQ85" s="25"/>
      <c r="FR85" s="25"/>
      <c r="FS85" s="25"/>
      <c r="FT85" s="25"/>
      <c r="FU85" s="25"/>
      <c r="FV85" s="25"/>
      <c r="FW85" s="25"/>
      <c r="FX85" s="25"/>
      <c r="FY85" s="25"/>
      <c r="FZ85" s="25"/>
      <c r="GA85" s="25"/>
      <c r="GB85" s="25"/>
      <c r="GC85" s="25"/>
      <c r="GD85" s="25"/>
      <c r="GE85" s="25"/>
      <c r="GF85" s="25"/>
      <c r="GG85" s="25"/>
    </row>
    <row r="86" spans="1:189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5"/>
      <c r="FG86" s="25"/>
      <c r="FH86" s="25"/>
      <c r="FI86" s="25"/>
      <c r="FJ86" s="25"/>
      <c r="FK86" s="25"/>
      <c r="FL86" s="25"/>
      <c r="FM86" s="25"/>
      <c r="FN86" s="25"/>
      <c r="FO86" s="25"/>
      <c r="FP86" s="25"/>
      <c r="FQ86" s="25"/>
      <c r="FR86" s="25"/>
      <c r="FS86" s="25"/>
      <c r="FT86" s="25"/>
      <c r="FU86" s="25"/>
      <c r="FV86" s="25"/>
      <c r="FW86" s="25"/>
      <c r="FX86" s="25"/>
      <c r="FY86" s="25"/>
      <c r="FZ86" s="25"/>
      <c r="GA86" s="25"/>
      <c r="GB86" s="25"/>
      <c r="GC86" s="25"/>
      <c r="GD86" s="25"/>
      <c r="GE86" s="25"/>
      <c r="GF86" s="25"/>
      <c r="GG86" s="25"/>
    </row>
    <row r="87" spans="1:189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5"/>
      <c r="EY87" s="25"/>
      <c r="EZ87" s="25"/>
      <c r="FA87" s="25"/>
      <c r="FB87" s="25"/>
      <c r="FC87" s="25"/>
      <c r="FD87" s="25"/>
      <c r="FE87" s="25"/>
      <c r="FF87" s="25"/>
      <c r="FG87" s="25"/>
      <c r="FH87" s="25"/>
      <c r="FI87" s="25"/>
      <c r="FJ87" s="25"/>
      <c r="FK87" s="25"/>
      <c r="FL87" s="25"/>
      <c r="FM87" s="25"/>
      <c r="FN87" s="25"/>
      <c r="FO87" s="25"/>
      <c r="FP87" s="25"/>
      <c r="FQ87" s="25"/>
      <c r="FR87" s="25"/>
      <c r="FS87" s="25"/>
      <c r="FT87" s="25"/>
      <c r="FU87" s="25"/>
      <c r="FV87" s="25"/>
      <c r="FW87" s="25"/>
      <c r="FX87" s="25"/>
      <c r="FY87" s="25"/>
      <c r="FZ87" s="25"/>
      <c r="GA87" s="25"/>
      <c r="GB87" s="25"/>
      <c r="GC87" s="25"/>
      <c r="GD87" s="25"/>
      <c r="GE87" s="25"/>
      <c r="GF87" s="25"/>
      <c r="GG87" s="25"/>
    </row>
    <row r="88" spans="1:189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5"/>
      <c r="EY88" s="25"/>
      <c r="EZ88" s="25"/>
      <c r="FA88" s="25"/>
      <c r="FB88" s="25"/>
      <c r="FC88" s="25"/>
      <c r="FD88" s="25"/>
      <c r="FE88" s="25"/>
      <c r="FF88" s="25"/>
      <c r="FG88" s="25"/>
      <c r="FH88" s="25"/>
      <c r="FI88" s="25"/>
      <c r="FJ88" s="25"/>
      <c r="FK88" s="25"/>
      <c r="FL88" s="25"/>
      <c r="FM88" s="25"/>
      <c r="FN88" s="25"/>
      <c r="FO88" s="25"/>
      <c r="FP88" s="25"/>
      <c r="FQ88" s="25"/>
      <c r="FR88" s="25"/>
      <c r="FS88" s="25"/>
      <c r="FT88" s="25"/>
      <c r="FU88" s="25"/>
      <c r="FV88" s="25"/>
      <c r="FW88" s="25"/>
      <c r="FX88" s="25"/>
      <c r="FY88" s="25"/>
      <c r="FZ88" s="25"/>
      <c r="GA88" s="25"/>
      <c r="GB88" s="25"/>
      <c r="GC88" s="25"/>
      <c r="GD88" s="25"/>
      <c r="GE88" s="25"/>
      <c r="GF88" s="25"/>
      <c r="GG88" s="25"/>
    </row>
    <row r="89" spans="1:189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5"/>
      <c r="EY89" s="25"/>
      <c r="EZ89" s="25"/>
      <c r="FA89" s="25"/>
      <c r="FB89" s="25"/>
      <c r="FC89" s="25"/>
      <c r="FD89" s="25"/>
      <c r="FE89" s="25"/>
      <c r="FF89" s="25"/>
      <c r="FG89" s="25"/>
      <c r="FH89" s="25"/>
      <c r="FI89" s="25"/>
      <c r="FJ89" s="25"/>
      <c r="FK89" s="25"/>
      <c r="FL89" s="25"/>
      <c r="FM89" s="25"/>
      <c r="FN89" s="25"/>
      <c r="FO89" s="25"/>
      <c r="FP89" s="25"/>
      <c r="FQ89" s="25"/>
      <c r="FR89" s="25"/>
      <c r="FS89" s="25"/>
      <c r="FT89" s="25"/>
      <c r="FU89" s="25"/>
      <c r="FV89" s="25"/>
      <c r="FW89" s="25"/>
      <c r="FX89" s="25"/>
      <c r="FY89" s="25"/>
      <c r="FZ89" s="25"/>
      <c r="GA89" s="25"/>
      <c r="GB89" s="25"/>
      <c r="GC89" s="25"/>
      <c r="GD89" s="25"/>
      <c r="GE89" s="25"/>
      <c r="GF89" s="25"/>
      <c r="GG89" s="25"/>
    </row>
    <row r="90" spans="1:189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5"/>
      <c r="EY90" s="25"/>
      <c r="EZ90" s="25"/>
      <c r="FA90" s="25"/>
      <c r="FB90" s="25"/>
      <c r="FC90" s="25"/>
      <c r="FD90" s="25"/>
      <c r="FE90" s="25"/>
      <c r="FF90" s="25"/>
      <c r="FG90" s="25"/>
      <c r="FH90" s="25"/>
      <c r="FI90" s="25"/>
      <c r="FJ90" s="25"/>
      <c r="FK90" s="25"/>
      <c r="FL90" s="25"/>
      <c r="FM90" s="25"/>
      <c r="FN90" s="25"/>
      <c r="FO90" s="25"/>
      <c r="FP90" s="25"/>
      <c r="FQ90" s="25"/>
      <c r="FR90" s="25"/>
      <c r="FS90" s="25"/>
      <c r="FT90" s="25"/>
      <c r="FU90" s="25"/>
      <c r="FV90" s="25"/>
      <c r="FW90" s="25"/>
      <c r="FX90" s="25"/>
      <c r="FY90" s="25"/>
      <c r="FZ90" s="25"/>
      <c r="GA90" s="25"/>
      <c r="GB90" s="25"/>
      <c r="GC90" s="25"/>
      <c r="GD90" s="25"/>
      <c r="GE90" s="25"/>
      <c r="GF90" s="25"/>
      <c r="GG90" s="25"/>
    </row>
    <row r="91" spans="1:189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5"/>
      <c r="EY91" s="25"/>
      <c r="EZ91" s="25"/>
      <c r="FA91" s="25"/>
      <c r="FB91" s="25"/>
      <c r="FC91" s="25"/>
      <c r="FD91" s="25"/>
      <c r="FE91" s="25"/>
      <c r="FF91" s="25"/>
      <c r="FG91" s="25"/>
      <c r="FH91" s="25"/>
      <c r="FI91" s="25"/>
      <c r="FJ91" s="25"/>
      <c r="FK91" s="25"/>
      <c r="FL91" s="25"/>
      <c r="FM91" s="25"/>
      <c r="FN91" s="25"/>
      <c r="FO91" s="25"/>
      <c r="FP91" s="25"/>
      <c r="FQ91" s="25"/>
      <c r="FR91" s="25"/>
      <c r="FS91" s="25"/>
      <c r="FT91" s="25"/>
      <c r="FU91" s="25"/>
      <c r="FV91" s="25"/>
      <c r="FW91" s="25"/>
      <c r="FX91" s="25"/>
      <c r="FY91" s="25"/>
      <c r="FZ91" s="25"/>
      <c r="GA91" s="25"/>
      <c r="GB91" s="25"/>
      <c r="GC91" s="25"/>
      <c r="GD91" s="25"/>
      <c r="GE91" s="25"/>
      <c r="GF91" s="25"/>
      <c r="GG91" s="25"/>
    </row>
    <row r="92" spans="1:189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5"/>
      <c r="FG92" s="25"/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/>
      <c r="FU92" s="25"/>
      <c r="FV92" s="25"/>
      <c r="FW92" s="25"/>
      <c r="FX92" s="25"/>
      <c r="FY92" s="25"/>
      <c r="FZ92" s="25"/>
      <c r="GA92" s="25"/>
      <c r="GB92" s="25"/>
      <c r="GC92" s="25"/>
      <c r="GD92" s="25"/>
      <c r="GE92" s="25"/>
      <c r="GF92" s="25"/>
      <c r="GG92" s="25"/>
    </row>
    <row r="93" spans="1:189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/>
      <c r="EY93" s="25"/>
      <c r="EZ93" s="25"/>
      <c r="FA93" s="25"/>
      <c r="FB93" s="25"/>
      <c r="FC93" s="25"/>
      <c r="FD93" s="25"/>
      <c r="FE93" s="25"/>
      <c r="FF93" s="25"/>
      <c r="FG93" s="25"/>
      <c r="FH93" s="25"/>
      <c r="FI93" s="25"/>
      <c r="FJ93" s="25"/>
      <c r="FK93" s="25"/>
      <c r="FL93" s="25"/>
      <c r="FM93" s="25"/>
      <c r="FN93" s="25"/>
      <c r="FO93" s="25"/>
      <c r="FP93" s="25"/>
      <c r="FQ93" s="25"/>
      <c r="FR93" s="25"/>
      <c r="FS93" s="25"/>
      <c r="FT93" s="25"/>
      <c r="FU93" s="25"/>
      <c r="FV93" s="25"/>
      <c r="FW93" s="25"/>
      <c r="FX93" s="25"/>
      <c r="FY93" s="25"/>
      <c r="FZ93" s="25"/>
      <c r="GA93" s="25"/>
      <c r="GB93" s="25"/>
      <c r="GC93" s="25"/>
      <c r="GD93" s="25"/>
      <c r="GE93" s="25"/>
      <c r="GF93" s="25"/>
      <c r="GG93" s="25"/>
    </row>
    <row r="94" spans="1:189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5"/>
      <c r="FG94" s="25"/>
      <c r="FH94" s="25"/>
      <c r="FI94" s="25"/>
      <c r="FJ94" s="25"/>
      <c r="FK94" s="25"/>
      <c r="FL94" s="25"/>
      <c r="FM94" s="25"/>
      <c r="FN94" s="25"/>
      <c r="FO94" s="25"/>
      <c r="FP94" s="25"/>
      <c r="FQ94" s="25"/>
      <c r="FR94" s="25"/>
      <c r="FS94" s="25"/>
      <c r="FT94" s="25"/>
      <c r="FU94" s="25"/>
      <c r="FV94" s="25"/>
      <c r="FW94" s="25"/>
      <c r="FX94" s="25"/>
      <c r="FY94" s="25"/>
      <c r="FZ94" s="25"/>
      <c r="GA94" s="25"/>
      <c r="GB94" s="25"/>
      <c r="GC94" s="25"/>
      <c r="GD94" s="25"/>
      <c r="GE94" s="25"/>
      <c r="GF94" s="25"/>
      <c r="GG94" s="25"/>
    </row>
    <row r="95" spans="1:189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5"/>
      <c r="EY95" s="25"/>
      <c r="EZ95" s="25"/>
      <c r="FA95" s="25"/>
      <c r="FB95" s="25"/>
      <c r="FC95" s="25"/>
      <c r="FD95" s="25"/>
      <c r="FE95" s="25"/>
      <c r="FF95" s="25"/>
      <c r="FG95" s="25"/>
      <c r="FH95" s="25"/>
      <c r="FI95" s="25"/>
      <c r="FJ95" s="25"/>
      <c r="FK95" s="25"/>
      <c r="FL95" s="25"/>
      <c r="FM95" s="25"/>
      <c r="FN95" s="25"/>
      <c r="FO95" s="25"/>
      <c r="FP95" s="25"/>
      <c r="FQ95" s="25"/>
      <c r="FR95" s="25"/>
      <c r="FS95" s="25"/>
      <c r="FT95" s="25"/>
      <c r="FU95" s="25"/>
      <c r="FV95" s="25"/>
      <c r="FW95" s="25"/>
      <c r="FX95" s="25"/>
      <c r="FY95" s="25"/>
      <c r="FZ95" s="25"/>
      <c r="GA95" s="25"/>
      <c r="GB95" s="25"/>
      <c r="GC95" s="25"/>
      <c r="GD95" s="25"/>
      <c r="GE95" s="25"/>
      <c r="GF95" s="25"/>
      <c r="GG95" s="25"/>
    </row>
    <row r="96" spans="1:189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5"/>
      <c r="EY96" s="25"/>
      <c r="EZ96" s="25"/>
      <c r="FA96" s="25"/>
      <c r="FB96" s="25"/>
      <c r="FC96" s="25"/>
      <c r="FD96" s="25"/>
      <c r="FE96" s="25"/>
      <c r="FF96" s="25"/>
      <c r="FG96" s="25"/>
      <c r="FH96" s="25"/>
      <c r="FI96" s="25"/>
      <c r="FJ96" s="25"/>
      <c r="FK96" s="25"/>
      <c r="FL96" s="25"/>
      <c r="FM96" s="25"/>
      <c r="FN96" s="25"/>
      <c r="FO96" s="25"/>
      <c r="FP96" s="25"/>
      <c r="FQ96" s="25"/>
      <c r="FR96" s="25"/>
      <c r="FS96" s="25"/>
      <c r="FT96" s="25"/>
      <c r="FU96" s="25"/>
      <c r="FV96" s="25"/>
      <c r="FW96" s="25"/>
      <c r="FX96" s="25"/>
      <c r="FY96" s="25"/>
      <c r="FZ96" s="25"/>
      <c r="GA96" s="25"/>
      <c r="GB96" s="25"/>
      <c r="GC96" s="25"/>
      <c r="GD96" s="25"/>
      <c r="GE96" s="25"/>
      <c r="GF96" s="25"/>
      <c r="GG96" s="25"/>
    </row>
    <row r="97" spans="1:189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5"/>
      <c r="EY97" s="25"/>
      <c r="EZ97" s="25"/>
      <c r="FA97" s="25"/>
      <c r="FB97" s="25"/>
      <c r="FC97" s="25"/>
      <c r="FD97" s="25"/>
      <c r="FE97" s="25"/>
      <c r="FF97" s="25"/>
      <c r="FG97" s="25"/>
      <c r="FH97" s="25"/>
      <c r="FI97" s="25"/>
      <c r="FJ97" s="25"/>
      <c r="FK97" s="25"/>
      <c r="FL97" s="25"/>
      <c r="FM97" s="25"/>
      <c r="FN97" s="25"/>
      <c r="FO97" s="25"/>
      <c r="FP97" s="25"/>
      <c r="FQ97" s="25"/>
      <c r="FR97" s="25"/>
      <c r="FS97" s="25"/>
      <c r="FT97" s="25"/>
      <c r="FU97" s="25"/>
      <c r="FV97" s="25"/>
      <c r="FW97" s="25"/>
      <c r="FX97" s="25"/>
      <c r="FY97" s="25"/>
      <c r="FZ97" s="25"/>
      <c r="GA97" s="25"/>
      <c r="GB97" s="25"/>
      <c r="GC97" s="25"/>
      <c r="GD97" s="25"/>
      <c r="GE97" s="25"/>
      <c r="GF97" s="25"/>
      <c r="GG97" s="25"/>
    </row>
    <row r="98" spans="1:189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5"/>
      <c r="EY98" s="25"/>
      <c r="EZ98" s="25"/>
      <c r="FA98" s="25"/>
      <c r="FB98" s="25"/>
      <c r="FC98" s="25"/>
      <c r="FD98" s="25"/>
      <c r="FE98" s="25"/>
      <c r="FF98" s="25"/>
      <c r="FG98" s="25"/>
      <c r="FH98" s="25"/>
      <c r="FI98" s="25"/>
      <c r="FJ98" s="25"/>
      <c r="FK98" s="25"/>
      <c r="FL98" s="25"/>
      <c r="FM98" s="25"/>
      <c r="FN98" s="25"/>
      <c r="FO98" s="25"/>
      <c r="FP98" s="25"/>
      <c r="FQ98" s="25"/>
      <c r="FR98" s="25"/>
      <c r="FS98" s="25"/>
      <c r="FT98" s="25"/>
      <c r="FU98" s="25"/>
      <c r="FV98" s="25"/>
      <c r="FW98" s="25"/>
      <c r="FX98" s="25"/>
      <c r="FY98" s="25"/>
      <c r="FZ98" s="25"/>
      <c r="GA98" s="25"/>
      <c r="GB98" s="25"/>
      <c r="GC98" s="25"/>
      <c r="GD98" s="25"/>
      <c r="GE98" s="25"/>
      <c r="GF98" s="25"/>
      <c r="GG98" s="25"/>
    </row>
    <row r="99" spans="1:189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5"/>
      <c r="EY99" s="25"/>
      <c r="EZ99" s="25"/>
      <c r="FA99" s="25"/>
      <c r="FB99" s="25"/>
      <c r="FC99" s="25"/>
      <c r="FD99" s="25"/>
      <c r="FE99" s="25"/>
      <c r="FF99" s="25"/>
      <c r="FG99" s="25"/>
      <c r="FH99" s="25"/>
      <c r="FI99" s="25"/>
      <c r="FJ99" s="25"/>
      <c r="FK99" s="25"/>
      <c r="FL99" s="25"/>
      <c r="FM99" s="25"/>
      <c r="FN99" s="25"/>
      <c r="FO99" s="25"/>
      <c r="FP99" s="25"/>
      <c r="FQ99" s="25"/>
      <c r="FR99" s="25"/>
      <c r="FS99" s="25"/>
      <c r="FT99" s="25"/>
      <c r="FU99" s="25"/>
      <c r="FV99" s="25"/>
      <c r="FW99" s="25"/>
      <c r="FX99" s="25"/>
      <c r="FY99" s="25"/>
      <c r="FZ99" s="25"/>
      <c r="GA99" s="25"/>
      <c r="GB99" s="25"/>
      <c r="GC99" s="25"/>
      <c r="GD99" s="25"/>
      <c r="GE99" s="25"/>
      <c r="GF99" s="25"/>
      <c r="GG99" s="25"/>
    </row>
    <row r="100" spans="1:189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5"/>
      <c r="EY100" s="25"/>
      <c r="EZ100" s="25"/>
      <c r="FA100" s="25"/>
      <c r="FB100" s="25"/>
      <c r="FC100" s="25"/>
      <c r="FD100" s="25"/>
      <c r="FE100" s="25"/>
      <c r="FF100" s="25"/>
      <c r="FG100" s="25"/>
      <c r="FH100" s="25"/>
      <c r="FI100" s="25"/>
      <c r="FJ100" s="25"/>
      <c r="FK100" s="25"/>
      <c r="FL100" s="25"/>
      <c r="FM100" s="25"/>
      <c r="FN100" s="25"/>
      <c r="FO100" s="25"/>
      <c r="FP100" s="25"/>
      <c r="FQ100" s="25"/>
      <c r="FR100" s="25"/>
      <c r="FS100" s="25"/>
      <c r="FT100" s="25"/>
      <c r="FU100" s="25"/>
      <c r="FV100" s="25"/>
      <c r="FW100" s="25"/>
      <c r="FX100" s="25"/>
      <c r="FY100" s="25"/>
      <c r="FZ100" s="25"/>
      <c r="GA100" s="25"/>
      <c r="GB100" s="25"/>
      <c r="GC100" s="25"/>
      <c r="GD100" s="25"/>
      <c r="GE100" s="25"/>
      <c r="GF100" s="25"/>
      <c r="GG100" s="25"/>
    </row>
    <row r="101" spans="1:189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/>
      <c r="EY101" s="25"/>
      <c r="EZ101" s="25"/>
      <c r="FA101" s="25"/>
      <c r="FB101" s="25"/>
      <c r="FC101" s="25"/>
      <c r="FD101" s="25"/>
      <c r="FE101" s="25"/>
      <c r="FF101" s="25"/>
      <c r="FG101" s="25"/>
      <c r="FH101" s="25"/>
      <c r="FI101" s="25"/>
      <c r="FJ101" s="25"/>
      <c r="FK101" s="25"/>
      <c r="FL101" s="25"/>
      <c r="FM101" s="25"/>
      <c r="FN101" s="25"/>
      <c r="FO101" s="25"/>
      <c r="FP101" s="25"/>
      <c r="FQ101" s="25"/>
      <c r="FR101" s="25"/>
      <c r="FS101" s="25"/>
      <c r="FT101" s="25"/>
      <c r="FU101" s="25"/>
      <c r="FV101" s="25"/>
      <c r="FW101" s="25"/>
      <c r="FX101" s="25"/>
      <c r="FY101" s="25"/>
      <c r="FZ101" s="25"/>
      <c r="GA101" s="25"/>
      <c r="GB101" s="25"/>
      <c r="GC101" s="25"/>
      <c r="GD101" s="25"/>
      <c r="GE101" s="25"/>
      <c r="GF101" s="25"/>
      <c r="GG101" s="25"/>
    </row>
    <row r="102" spans="1:189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5"/>
      <c r="EY102" s="25"/>
      <c r="EZ102" s="25"/>
      <c r="FA102" s="25"/>
      <c r="FB102" s="25"/>
      <c r="FC102" s="25"/>
      <c r="FD102" s="25"/>
      <c r="FE102" s="25"/>
      <c r="FF102" s="25"/>
      <c r="FG102" s="25"/>
      <c r="FH102" s="25"/>
      <c r="FI102" s="25"/>
      <c r="FJ102" s="25"/>
      <c r="FK102" s="25"/>
      <c r="FL102" s="25"/>
      <c r="FM102" s="25"/>
      <c r="FN102" s="25"/>
      <c r="FO102" s="25"/>
      <c r="FP102" s="25"/>
      <c r="FQ102" s="25"/>
      <c r="FR102" s="25"/>
      <c r="FS102" s="25"/>
      <c r="FT102" s="25"/>
      <c r="FU102" s="25"/>
      <c r="FV102" s="25"/>
      <c r="FW102" s="25"/>
      <c r="FX102" s="25"/>
      <c r="FY102" s="25"/>
      <c r="FZ102" s="25"/>
      <c r="GA102" s="25"/>
      <c r="GB102" s="25"/>
      <c r="GC102" s="25"/>
      <c r="GD102" s="25"/>
      <c r="GE102" s="25"/>
      <c r="GF102" s="25"/>
      <c r="GG102" s="25"/>
    </row>
    <row r="103" spans="1:189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5"/>
      <c r="EY103" s="25"/>
      <c r="EZ103" s="25"/>
      <c r="FA103" s="25"/>
      <c r="FB103" s="25"/>
      <c r="FC103" s="25"/>
      <c r="FD103" s="25"/>
      <c r="FE103" s="25"/>
      <c r="FF103" s="25"/>
      <c r="FG103" s="25"/>
      <c r="FH103" s="25"/>
      <c r="FI103" s="25"/>
      <c r="FJ103" s="25"/>
      <c r="FK103" s="25"/>
      <c r="FL103" s="25"/>
      <c r="FM103" s="25"/>
      <c r="FN103" s="25"/>
      <c r="FO103" s="25"/>
      <c r="FP103" s="25"/>
      <c r="FQ103" s="25"/>
      <c r="FR103" s="25"/>
      <c r="FS103" s="25"/>
      <c r="FT103" s="25"/>
      <c r="FU103" s="25"/>
      <c r="FV103" s="25"/>
      <c r="FW103" s="25"/>
      <c r="FX103" s="25"/>
      <c r="FY103" s="25"/>
      <c r="FZ103" s="25"/>
      <c r="GA103" s="25"/>
      <c r="GB103" s="25"/>
      <c r="GC103" s="25"/>
      <c r="GD103" s="25"/>
      <c r="GE103" s="25"/>
      <c r="GF103" s="25"/>
      <c r="GG103" s="25"/>
    </row>
    <row r="104" spans="1:189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5"/>
      <c r="EY104" s="25"/>
      <c r="EZ104" s="25"/>
      <c r="FA104" s="25"/>
      <c r="FB104" s="25"/>
      <c r="FC104" s="25"/>
      <c r="FD104" s="25"/>
      <c r="FE104" s="25"/>
      <c r="FF104" s="25"/>
      <c r="FG104" s="25"/>
      <c r="FH104" s="25"/>
      <c r="FI104" s="25"/>
      <c r="FJ104" s="25"/>
      <c r="FK104" s="25"/>
      <c r="FL104" s="25"/>
      <c r="FM104" s="25"/>
      <c r="FN104" s="25"/>
      <c r="FO104" s="25"/>
      <c r="FP104" s="25"/>
      <c r="FQ104" s="25"/>
      <c r="FR104" s="25"/>
      <c r="FS104" s="25"/>
      <c r="FT104" s="25"/>
      <c r="FU104" s="25"/>
      <c r="FV104" s="25"/>
      <c r="FW104" s="25"/>
      <c r="FX104" s="25"/>
      <c r="FY104" s="25"/>
      <c r="FZ104" s="25"/>
      <c r="GA104" s="25"/>
      <c r="GB104" s="25"/>
      <c r="GC104" s="25"/>
      <c r="GD104" s="25"/>
      <c r="GE104" s="25"/>
      <c r="GF104" s="25"/>
      <c r="GG104" s="25"/>
    </row>
    <row r="105" spans="1:189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5"/>
      <c r="EY105" s="25"/>
      <c r="EZ105" s="25"/>
      <c r="FA105" s="25"/>
      <c r="FB105" s="25"/>
      <c r="FC105" s="25"/>
      <c r="FD105" s="25"/>
      <c r="FE105" s="25"/>
      <c r="FF105" s="25"/>
      <c r="FG105" s="25"/>
      <c r="FH105" s="25"/>
      <c r="FI105" s="25"/>
      <c r="FJ105" s="25"/>
      <c r="FK105" s="25"/>
      <c r="FL105" s="25"/>
      <c r="FM105" s="25"/>
      <c r="FN105" s="25"/>
      <c r="FO105" s="25"/>
      <c r="FP105" s="25"/>
      <c r="FQ105" s="25"/>
      <c r="FR105" s="25"/>
      <c r="FS105" s="25"/>
      <c r="FT105" s="25"/>
      <c r="FU105" s="25"/>
      <c r="FV105" s="25"/>
      <c r="FW105" s="25"/>
      <c r="FX105" s="25"/>
      <c r="FY105" s="25"/>
      <c r="FZ105" s="25"/>
      <c r="GA105" s="25"/>
      <c r="GB105" s="25"/>
      <c r="GC105" s="25"/>
      <c r="GD105" s="25"/>
      <c r="GE105" s="25"/>
      <c r="GF105" s="25"/>
      <c r="GG105" s="25"/>
    </row>
    <row r="106" spans="1:189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5"/>
      <c r="EY106" s="25"/>
      <c r="EZ106" s="25"/>
      <c r="FA106" s="25"/>
      <c r="FB106" s="25"/>
      <c r="FC106" s="25"/>
      <c r="FD106" s="25"/>
      <c r="FE106" s="25"/>
      <c r="FF106" s="25"/>
      <c r="FG106" s="25"/>
      <c r="FH106" s="25"/>
      <c r="FI106" s="25"/>
      <c r="FJ106" s="25"/>
      <c r="FK106" s="25"/>
      <c r="FL106" s="25"/>
      <c r="FM106" s="25"/>
      <c r="FN106" s="25"/>
      <c r="FO106" s="25"/>
      <c r="FP106" s="25"/>
      <c r="FQ106" s="25"/>
      <c r="FR106" s="25"/>
      <c r="FS106" s="25"/>
      <c r="FT106" s="25"/>
      <c r="FU106" s="25"/>
      <c r="FV106" s="25"/>
      <c r="FW106" s="25"/>
      <c r="FX106" s="25"/>
      <c r="FY106" s="25"/>
      <c r="FZ106" s="25"/>
      <c r="GA106" s="25"/>
      <c r="GB106" s="25"/>
      <c r="GC106" s="25"/>
      <c r="GD106" s="25"/>
      <c r="GE106" s="25"/>
      <c r="GF106" s="25"/>
      <c r="GG106" s="25"/>
    </row>
    <row r="107" spans="1:189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5"/>
      <c r="EY107" s="25"/>
      <c r="EZ107" s="25"/>
      <c r="FA107" s="25"/>
      <c r="FB107" s="25"/>
      <c r="FC107" s="25"/>
      <c r="FD107" s="25"/>
      <c r="FE107" s="25"/>
      <c r="FF107" s="25"/>
      <c r="FG107" s="25"/>
      <c r="FH107" s="25"/>
      <c r="FI107" s="25"/>
      <c r="FJ107" s="25"/>
      <c r="FK107" s="25"/>
      <c r="FL107" s="25"/>
      <c r="FM107" s="25"/>
      <c r="FN107" s="25"/>
      <c r="FO107" s="25"/>
      <c r="FP107" s="25"/>
      <c r="FQ107" s="25"/>
      <c r="FR107" s="25"/>
      <c r="FS107" s="25"/>
      <c r="FT107" s="25"/>
      <c r="FU107" s="25"/>
      <c r="FV107" s="25"/>
      <c r="FW107" s="25"/>
      <c r="FX107" s="25"/>
      <c r="FY107" s="25"/>
      <c r="FZ107" s="25"/>
      <c r="GA107" s="25"/>
      <c r="GB107" s="25"/>
      <c r="GC107" s="25"/>
      <c r="GD107" s="25"/>
      <c r="GE107" s="25"/>
      <c r="GF107" s="25"/>
      <c r="GG107" s="25"/>
    </row>
    <row r="108" spans="1:189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5"/>
      <c r="EY108" s="25"/>
      <c r="EZ108" s="25"/>
      <c r="FA108" s="25"/>
      <c r="FB108" s="25"/>
      <c r="FC108" s="25"/>
      <c r="FD108" s="25"/>
      <c r="FE108" s="25"/>
      <c r="FF108" s="25"/>
      <c r="FG108" s="25"/>
      <c r="FH108" s="25"/>
      <c r="FI108" s="25"/>
      <c r="FJ108" s="25"/>
      <c r="FK108" s="25"/>
      <c r="FL108" s="25"/>
      <c r="FM108" s="25"/>
      <c r="FN108" s="25"/>
      <c r="FO108" s="25"/>
      <c r="FP108" s="25"/>
      <c r="FQ108" s="25"/>
      <c r="FR108" s="25"/>
      <c r="FS108" s="25"/>
      <c r="FT108" s="25"/>
      <c r="FU108" s="25"/>
      <c r="FV108" s="25"/>
      <c r="FW108" s="25"/>
      <c r="FX108" s="25"/>
      <c r="FY108" s="25"/>
      <c r="FZ108" s="25"/>
      <c r="GA108" s="25"/>
      <c r="GB108" s="25"/>
      <c r="GC108" s="25"/>
      <c r="GD108" s="25"/>
      <c r="GE108" s="25"/>
      <c r="GF108" s="25"/>
      <c r="GG108" s="25"/>
    </row>
    <row r="109" spans="1:189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5"/>
      <c r="EY109" s="25"/>
      <c r="EZ109" s="25"/>
      <c r="FA109" s="25"/>
      <c r="FB109" s="25"/>
      <c r="FC109" s="25"/>
      <c r="FD109" s="25"/>
      <c r="FE109" s="25"/>
      <c r="FF109" s="25"/>
      <c r="FG109" s="25"/>
      <c r="FH109" s="25"/>
      <c r="FI109" s="25"/>
      <c r="FJ109" s="25"/>
      <c r="FK109" s="25"/>
      <c r="FL109" s="25"/>
      <c r="FM109" s="25"/>
      <c r="FN109" s="25"/>
      <c r="FO109" s="25"/>
      <c r="FP109" s="25"/>
      <c r="FQ109" s="25"/>
      <c r="FR109" s="25"/>
      <c r="FS109" s="25"/>
      <c r="FT109" s="25"/>
      <c r="FU109" s="25"/>
      <c r="FV109" s="25"/>
      <c r="FW109" s="25"/>
      <c r="FX109" s="25"/>
      <c r="FY109" s="25"/>
      <c r="FZ109" s="25"/>
      <c r="GA109" s="25"/>
      <c r="GB109" s="25"/>
      <c r="GC109" s="25"/>
      <c r="GD109" s="25"/>
      <c r="GE109" s="25"/>
      <c r="GF109" s="25"/>
      <c r="GG109" s="25"/>
    </row>
    <row r="110" spans="1:189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5"/>
      <c r="EY110" s="25"/>
      <c r="EZ110" s="25"/>
      <c r="FA110" s="25"/>
      <c r="FB110" s="25"/>
      <c r="FC110" s="25"/>
      <c r="FD110" s="25"/>
      <c r="FE110" s="25"/>
      <c r="FF110" s="25"/>
      <c r="FG110" s="25"/>
      <c r="FH110" s="25"/>
      <c r="FI110" s="25"/>
      <c r="FJ110" s="25"/>
      <c r="FK110" s="25"/>
      <c r="FL110" s="25"/>
      <c r="FM110" s="25"/>
      <c r="FN110" s="25"/>
      <c r="FO110" s="25"/>
      <c r="FP110" s="25"/>
      <c r="FQ110" s="25"/>
      <c r="FR110" s="25"/>
      <c r="FS110" s="25"/>
      <c r="FT110" s="25"/>
      <c r="FU110" s="25"/>
      <c r="FV110" s="25"/>
      <c r="FW110" s="25"/>
      <c r="FX110" s="25"/>
      <c r="FY110" s="25"/>
      <c r="FZ110" s="25"/>
      <c r="GA110" s="25"/>
      <c r="GB110" s="25"/>
      <c r="GC110" s="25"/>
      <c r="GD110" s="25"/>
      <c r="GE110" s="25"/>
      <c r="GF110" s="25"/>
      <c r="GG110" s="25"/>
    </row>
    <row r="111" spans="1:189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5"/>
      <c r="EY111" s="25"/>
      <c r="EZ111" s="25"/>
      <c r="FA111" s="25"/>
      <c r="FB111" s="25"/>
      <c r="FC111" s="25"/>
      <c r="FD111" s="25"/>
      <c r="FE111" s="25"/>
      <c r="FF111" s="25"/>
      <c r="FG111" s="25"/>
      <c r="FH111" s="25"/>
      <c r="FI111" s="25"/>
      <c r="FJ111" s="25"/>
      <c r="FK111" s="25"/>
      <c r="FL111" s="25"/>
      <c r="FM111" s="25"/>
      <c r="FN111" s="25"/>
      <c r="FO111" s="25"/>
      <c r="FP111" s="25"/>
      <c r="FQ111" s="25"/>
      <c r="FR111" s="25"/>
      <c r="FS111" s="25"/>
      <c r="FT111" s="25"/>
      <c r="FU111" s="25"/>
      <c r="FV111" s="25"/>
      <c r="FW111" s="25"/>
      <c r="FX111" s="25"/>
      <c r="FY111" s="25"/>
      <c r="FZ111" s="25"/>
      <c r="GA111" s="25"/>
      <c r="GB111" s="25"/>
      <c r="GC111" s="25"/>
      <c r="GD111" s="25"/>
      <c r="GE111" s="25"/>
      <c r="GF111" s="25"/>
      <c r="GG111" s="25"/>
    </row>
    <row r="112" spans="1:189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25"/>
      <c r="EY112" s="25"/>
      <c r="EZ112" s="25"/>
      <c r="FA112" s="25"/>
      <c r="FB112" s="25"/>
      <c r="FC112" s="25"/>
      <c r="FD112" s="25"/>
      <c r="FE112" s="25"/>
      <c r="FF112" s="25"/>
      <c r="FG112" s="25"/>
      <c r="FH112" s="25"/>
      <c r="FI112" s="25"/>
      <c r="FJ112" s="25"/>
      <c r="FK112" s="25"/>
      <c r="FL112" s="25"/>
      <c r="FM112" s="25"/>
      <c r="FN112" s="25"/>
      <c r="FO112" s="25"/>
      <c r="FP112" s="25"/>
      <c r="FQ112" s="25"/>
      <c r="FR112" s="25"/>
      <c r="FS112" s="25"/>
      <c r="FT112" s="25"/>
      <c r="FU112" s="25"/>
      <c r="FV112" s="25"/>
      <c r="FW112" s="25"/>
      <c r="FX112" s="25"/>
      <c r="FY112" s="25"/>
      <c r="FZ112" s="25"/>
      <c r="GA112" s="25"/>
      <c r="GB112" s="25"/>
      <c r="GC112" s="25"/>
      <c r="GD112" s="25"/>
      <c r="GE112" s="25"/>
      <c r="GF112" s="25"/>
      <c r="GG112" s="25"/>
    </row>
    <row r="113" spans="1:189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25"/>
      <c r="EY113" s="25"/>
      <c r="EZ113" s="25"/>
      <c r="FA113" s="25"/>
      <c r="FB113" s="25"/>
      <c r="FC113" s="25"/>
      <c r="FD113" s="25"/>
      <c r="FE113" s="25"/>
      <c r="FF113" s="25"/>
      <c r="FG113" s="25"/>
      <c r="FH113" s="25"/>
      <c r="FI113" s="25"/>
      <c r="FJ113" s="25"/>
      <c r="FK113" s="25"/>
      <c r="FL113" s="25"/>
      <c r="FM113" s="25"/>
      <c r="FN113" s="25"/>
      <c r="FO113" s="25"/>
      <c r="FP113" s="25"/>
      <c r="FQ113" s="25"/>
      <c r="FR113" s="25"/>
      <c r="FS113" s="25"/>
      <c r="FT113" s="25"/>
      <c r="FU113" s="25"/>
      <c r="FV113" s="25"/>
      <c r="FW113" s="25"/>
      <c r="FX113" s="25"/>
      <c r="FY113" s="25"/>
      <c r="FZ113" s="25"/>
      <c r="GA113" s="25"/>
      <c r="GB113" s="25"/>
      <c r="GC113" s="25"/>
      <c r="GD113" s="25"/>
      <c r="GE113" s="25"/>
      <c r="GF113" s="25"/>
      <c r="GG113" s="25"/>
    </row>
    <row r="114" spans="1:189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25"/>
      <c r="EY114" s="25"/>
      <c r="EZ114" s="25"/>
      <c r="FA114" s="25"/>
      <c r="FB114" s="25"/>
      <c r="FC114" s="25"/>
      <c r="FD114" s="25"/>
      <c r="FE114" s="25"/>
      <c r="FF114" s="25"/>
      <c r="FG114" s="25"/>
      <c r="FH114" s="25"/>
      <c r="FI114" s="25"/>
      <c r="FJ114" s="25"/>
      <c r="FK114" s="25"/>
      <c r="FL114" s="25"/>
      <c r="FM114" s="25"/>
      <c r="FN114" s="25"/>
      <c r="FO114" s="25"/>
      <c r="FP114" s="25"/>
      <c r="FQ114" s="25"/>
      <c r="FR114" s="25"/>
      <c r="FS114" s="25"/>
      <c r="FT114" s="25"/>
      <c r="FU114" s="25"/>
      <c r="FV114" s="25"/>
      <c r="FW114" s="25"/>
      <c r="FX114" s="25"/>
      <c r="FY114" s="25"/>
      <c r="FZ114" s="25"/>
      <c r="GA114" s="25"/>
      <c r="GB114" s="25"/>
      <c r="GC114" s="25"/>
      <c r="GD114" s="25"/>
      <c r="GE114" s="25"/>
      <c r="GF114" s="25"/>
      <c r="GG114" s="25"/>
    </row>
    <row r="115" spans="1:189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5"/>
      <c r="EY115" s="25"/>
      <c r="EZ115" s="25"/>
      <c r="FA115" s="25"/>
      <c r="FB115" s="25"/>
      <c r="FC115" s="25"/>
      <c r="FD115" s="25"/>
      <c r="FE115" s="25"/>
      <c r="FF115" s="25"/>
      <c r="FG115" s="25"/>
      <c r="FH115" s="25"/>
      <c r="FI115" s="25"/>
      <c r="FJ115" s="25"/>
      <c r="FK115" s="25"/>
      <c r="FL115" s="25"/>
      <c r="FM115" s="25"/>
      <c r="FN115" s="25"/>
      <c r="FO115" s="25"/>
      <c r="FP115" s="25"/>
      <c r="FQ115" s="25"/>
      <c r="FR115" s="25"/>
      <c r="FS115" s="25"/>
      <c r="FT115" s="25"/>
      <c r="FU115" s="25"/>
      <c r="FV115" s="25"/>
      <c r="FW115" s="25"/>
      <c r="FX115" s="25"/>
      <c r="FY115" s="25"/>
      <c r="FZ115" s="25"/>
      <c r="GA115" s="25"/>
      <c r="GB115" s="25"/>
      <c r="GC115" s="25"/>
      <c r="GD115" s="25"/>
      <c r="GE115" s="25"/>
      <c r="GF115" s="25"/>
      <c r="GG115" s="25"/>
    </row>
    <row r="116" spans="1:189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R116" s="25"/>
      <c r="ES116" s="25"/>
      <c r="ET116" s="25"/>
      <c r="EU116" s="25"/>
      <c r="EV116" s="25"/>
      <c r="EW116" s="25"/>
      <c r="EX116" s="25"/>
      <c r="EY116" s="25"/>
      <c r="EZ116" s="25"/>
      <c r="FA116" s="25"/>
      <c r="FB116" s="25"/>
      <c r="FC116" s="25"/>
      <c r="FD116" s="25"/>
      <c r="FE116" s="25"/>
      <c r="FF116" s="25"/>
      <c r="FG116" s="25"/>
      <c r="FH116" s="25"/>
      <c r="FI116" s="25"/>
      <c r="FJ116" s="25"/>
      <c r="FK116" s="25"/>
      <c r="FL116" s="25"/>
      <c r="FM116" s="25"/>
      <c r="FN116" s="25"/>
      <c r="FO116" s="25"/>
      <c r="FP116" s="25"/>
      <c r="FQ116" s="25"/>
      <c r="FR116" s="25"/>
      <c r="FS116" s="25"/>
      <c r="FT116" s="25"/>
      <c r="FU116" s="25"/>
      <c r="FV116" s="25"/>
      <c r="FW116" s="25"/>
      <c r="FX116" s="25"/>
      <c r="FY116" s="25"/>
      <c r="FZ116" s="25"/>
      <c r="GA116" s="25"/>
      <c r="GB116" s="25"/>
      <c r="GC116" s="25"/>
      <c r="GD116" s="25"/>
      <c r="GE116" s="25"/>
      <c r="GF116" s="25"/>
      <c r="GG116" s="25"/>
    </row>
    <row r="117" spans="1:189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5"/>
      <c r="ED117" s="25"/>
      <c r="EE117" s="25"/>
      <c r="EF117" s="25"/>
      <c r="EG117" s="25"/>
      <c r="EH117" s="25"/>
      <c r="EI117" s="25"/>
      <c r="EJ117" s="25"/>
      <c r="EK117" s="25"/>
      <c r="EL117" s="25"/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  <c r="EX117" s="25"/>
      <c r="EY117" s="25"/>
      <c r="EZ117" s="25"/>
      <c r="FA117" s="25"/>
      <c r="FB117" s="25"/>
      <c r="FC117" s="25"/>
      <c r="FD117" s="25"/>
      <c r="FE117" s="25"/>
      <c r="FF117" s="25"/>
      <c r="FG117" s="25"/>
      <c r="FH117" s="25"/>
      <c r="FI117" s="25"/>
      <c r="FJ117" s="25"/>
      <c r="FK117" s="25"/>
      <c r="FL117" s="25"/>
      <c r="FM117" s="25"/>
      <c r="FN117" s="25"/>
      <c r="FO117" s="25"/>
      <c r="FP117" s="25"/>
      <c r="FQ117" s="25"/>
      <c r="FR117" s="25"/>
      <c r="FS117" s="25"/>
      <c r="FT117" s="25"/>
      <c r="FU117" s="25"/>
      <c r="FV117" s="25"/>
      <c r="FW117" s="25"/>
      <c r="FX117" s="25"/>
      <c r="FY117" s="25"/>
      <c r="FZ117" s="25"/>
      <c r="GA117" s="25"/>
      <c r="GB117" s="25"/>
      <c r="GC117" s="25"/>
      <c r="GD117" s="25"/>
      <c r="GE117" s="25"/>
      <c r="GF117" s="25"/>
      <c r="GG117" s="25"/>
    </row>
    <row r="118" spans="1:189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  <c r="EX118" s="25"/>
      <c r="EY118" s="25"/>
      <c r="EZ118" s="25"/>
      <c r="FA118" s="25"/>
      <c r="FB118" s="25"/>
      <c r="FC118" s="25"/>
      <c r="FD118" s="25"/>
      <c r="FE118" s="25"/>
      <c r="FF118" s="25"/>
      <c r="FG118" s="25"/>
      <c r="FH118" s="25"/>
      <c r="FI118" s="25"/>
      <c r="FJ118" s="25"/>
      <c r="FK118" s="25"/>
      <c r="FL118" s="25"/>
      <c r="FM118" s="25"/>
      <c r="FN118" s="25"/>
      <c r="FO118" s="25"/>
      <c r="FP118" s="25"/>
      <c r="FQ118" s="25"/>
      <c r="FR118" s="25"/>
      <c r="FS118" s="25"/>
      <c r="FT118" s="25"/>
      <c r="FU118" s="25"/>
      <c r="FV118" s="25"/>
      <c r="FW118" s="25"/>
      <c r="FX118" s="25"/>
      <c r="FY118" s="25"/>
      <c r="FZ118" s="25"/>
      <c r="GA118" s="25"/>
      <c r="GB118" s="25"/>
      <c r="GC118" s="25"/>
      <c r="GD118" s="25"/>
      <c r="GE118" s="25"/>
      <c r="GF118" s="25"/>
      <c r="GG118" s="25"/>
    </row>
    <row r="119" spans="1:189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  <c r="EX119" s="25"/>
      <c r="EY119" s="25"/>
      <c r="EZ119" s="25"/>
      <c r="FA119" s="25"/>
      <c r="FB119" s="25"/>
      <c r="FC119" s="25"/>
      <c r="FD119" s="25"/>
      <c r="FE119" s="25"/>
      <c r="FF119" s="25"/>
      <c r="FG119" s="25"/>
      <c r="FH119" s="25"/>
      <c r="FI119" s="25"/>
      <c r="FJ119" s="25"/>
      <c r="FK119" s="25"/>
      <c r="FL119" s="25"/>
      <c r="FM119" s="25"/>
      <c r="FN119" s="25"/>
      <c r="FO119" s="25"/>
      <c r="FP119" s="25"/>
      <c r="FQ119" s="25"/>
      <c r="FR119" s="25"/>
      <c r="FS119" s="25"/>
      <c r="FT119" s="25"/>
      <c r="FU119" s="25"/>
      <c r="FV119" s="25"/>
      <c r="FW119" s="25"/>
      <c r="FX119" s="25"/>
      <c r="FY119" s="25"/>
      <c r="FZ119" s="25"/>
      <c r="GA119" s="25"/>
      <c r="GB119" s="25"/>
      <c r="GC119" s="25"/>
      <c r="GD119" s="25"/>
      <c r="GE119" s="25"/>
      <c r="GF119" s="25"/>
      <c r="GG119" s="25"/>
    </row>
    <row r="120" spans="1:189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25"/>
      <c r="EC120" s="25"/>
      <c r="ED120" s="25"/>
      <c r="EE120" s="25"/>
      <c r="EF120" s="25"/>
      <c r="EG120" s="25"/>
      <c r="EH120" s="25"/>
      <c r="EI120" s="25"/>
      <c r="EJ120" s="25"/>
      <c r="EK120" s="25"/>
      <c r="EL120" s="25"/>
      <c r="EM120" s="25"/>
      <c r="EN120" s="25"/>
      <c r="EO120" s="25"/>
      <c r="EP120" s="25"/>
      <c r="EQ120" s="25"/>
      <c r="ER120" s="25"/>
      <c r="ES120" s="25"/>
      <c r="ET120" s="25"/>
      <c r="EU120" s="25"/>
      <c r="EV120" s="25"/>
      <c r="EW120" s="25"/>
      <c r="EX120" s="25"/>
      <c r="EY120" s="25"/>
      <c r="EZ120" s="25"/>
      <c r="FA120" s="25"/>
      <c r="FB120" s="25"/>
      <c r="FC120" s="25"/>
      <c r="FD120" s="25"/>
      <c r="FE120" s="25"/>
      <c r="FF120" s="25"/>
      <c r="FG120" s="25"/>
      <c r="FH120" s="25"/>
      <c r="FI120" s="25"/>
      <c r="FJ120" s="25"/>
      <c r="FK120" s="25"/>
      <c r="FL120" s="25"/>
      <c r="FM120" s="25"/>
      <c r="FN120" s="25"/>
      <c r="FO120" s="25"/>
      <c r="FP120" s="25"/>
      <c r="FQ120" s="25"/>
      <c r="FR120" s="25"/>
      <c r="FS120" s="25"/>
      <c r="FT120" s="25"/>
      <c r="FU120" s="25"/>
      <c r="FV120" s="25"/>
      <c r="FW120" s="25"/>
      <c r="FX120" s="25"/>
      <c r="FY120" s="25"/>
      <c r="FZ120" s="25"/>
      <c r="GA120" s="25"/>
      <c r="GB120" s="25"/>
      <c r="GC120" s="25"/>
      <c r="GD120" s="25"/>
      <c r="GE120" s="25"/>
      <c r="GF120" s="25"/>
      <c r="GG120" s="25"/>
    </row>
    <row r="121" spans="1:189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/>
      <c r="DR121" s="25"/>
      <c r="DS121" s="25"/>
      <c r="DT121" s="25"/>
      <c r="DU121" s="25"/>
      <c r="DV121" s="25"/>
      <c r="DW121" s="25"/>
      <c r="DX121" s="25"/>
      <c r="DY121" s="25"/>
      <c r="DZ121" s="25"/>
      <c r="EA121" s="25"/>
      <c r="EB121" s="25"/>
      <c r="EC121" s="25"/>
      <c r="ED121" s="25"/>
      <c r="EE121" s="25"/>
      <c r="EF121" s="25"/>
      <c r="EG121" s="25"/>
      <c r="EH121" s="25"/>
      <c r="EI121" s="25"/>
      <c r="EJ121" s="25"/>
      <c r="EK121" s="25"/>
      <c r="EL121" s="25"/>
      <c r="EM121" s="25"/>
      <c r="EN121" s="25"/>
      <c r="EO121" s="25"/>
      <c r="EP121" s="25"/>
      <c r="EQ121" s="25"/>
      <c r="ER121" s="25"/>
      <c r="ES121" s="25"/>
      <c r="ET121" s="25"/>
      <c r="EU121" s="25"/>
      <c r="EV121" s="25"/>
      <c r="EW121" s="25"/>
      <c r="EX121" s="25"/>
      <c r="EY121" s="25"/>
      <c r="EZ121" s="25"/>
      <c r="FA121" s="25"/>
      <c r="FB121" s="25"/>
      <c r="FC121" s="25"/>
      <c r="FD121" s="25"/>
      <c r="FE121" s="25"/>
      <c r="FF121" s="25"/>
      <c r="FG121" s="25"/>
      <c r="FH121" s="25"/>
      <c r="FI121" s="25"/>
      <c r="FJ121" s="25"/>
      <c r="FK121" s="25"/>
      <c r="FL121" s="25"/>
      <c r="FM121" s="25"/>
      <c r="FN121" s="25"/>
      <c r="FO121" s="25"/>
      <c r="FP121" s="25"/>
      <c r="FQ121" s="25"/>
      <c r="FR121" s="25"/>
      <c r="FS121" s="25"/>
      <c r="FT121" s="25"/>
      <c r="FU121" s="25"/>
      <c r="FV121" s="25"/>
      <c r="FW121" s="25"/>
      <c r="FX121" s="25"/>
      <c r="FY121" s="25"/>
      <c r="FZ121" s="25"/>
      <c r="GA121" s="25"/>
      <c r="GB121" s="25"/>
      <c r="GC121" s="25"/>
      <c r="GD121" s="25"/>
      <c r="GE121" s="25"/>
      <c r="GF121" s="25"/>
      <c r="GG121" s="25"/>
    </row>
    <row r="122" spans="1:189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/>
      <c r="DD122" s="25"/>
      <c r="DE122" s="25"/>
      <c r="DF122" s="25"/>
      <c r="DG122" s="25"/>
      <c r="DH122" s="25"/>
      <c r="DI122" s="25"/>
      <c r="DJ122" s="25"/>
      <c r="DK122" s="25"/>
      <c r="DL122" s="25"/>
      <c r="DM122" s="25"/>
      <c r="DN122" s="25"/>
      <c r="DO122" s="25"/>
      <c r="DP122" s="25"/>
      <c r="DQ122" s="25"/>
      <c r="DR122" s="25"/>
      <c r="DS122" s="25"/>
      <c r="DT122" s="25"/>
      <c r="DU122" s="25"/>
      <c r="DV122" s="25"/>
      <c r="DW122" s="25"/>
      <c r="DX122" s="25"/>
      <c r="DY122" s="25"/>
      <c r="DZ122" s="25"/>
      <c r="EA122" s="25"/>
      <c r="EB122" s="25"/>
      <c r="EC122" s="25"/>
      <c r="ED122" s="25"/>
      <c r="EE122" s="25"/>
      <c r="EF122" s="25"/>
      <c r="EG122" s="25"/>
      <c r="EH122" s="25"/>
      <c r="EI122" s="25"/>
      <c r="EJ122" s="25"/>
      <c r="EK122" s="25"/>
      <c r="EL122" s="25"/>
      <c r="EM122" s="25"/>
      <c r="EN122" s="25"/>
      <c r="EO122" s="25"/>
      <c r="EP122" s="25"/>
      <c r="EQ122" s="25"/>
      <c r="ER122" s="25"/>
      <c r="ES122" s="25"/>
      <c r="ET122" s="25"/>
      <c r="EU122" s="25"/>
      <c r="EV122" s="25"/>
      <c r="EW122" s="25"/>
      <c r="EX122" s="25"/>
      <c r="EY122" s="25"/>
      <c r="EZ122" s="25"/>
      <c r="FA122" s="25"/>
      <c r="FB122" s="25"/>
      <c r="FC122" s="25"/>
      <c r="FD122" s="25"/>
      <c r="FE122" s="25"/>
      <c r="FF122" s="25"/>
      <c r="FG122" s="25"/>
      <c r="FH122" s="25"/>
      <c r="FI122" s="25"/>
      <c r="FJ122" s="25"/>
      <c r="FK122" s="25"/>
      <c r="FL122" s="25"/>
      <c r="FM122" s="25"/>
      <c r="FN122" s="25"/>
      <c r="FO122" s="25"/>
      <c r="FP122" s="25"/>
      <c r="FQ122" s="25"/>
      <c r="FR122" s="25"/>
      <c r="FS122" s="25"/>
      <c r="FT122" s="25"/>
      <c r="FU122" s="25"/>
      <c r="FV122" s="25"/>
      <c r="FW122" s="25"/>
      <c r="FX122" s="25"/>
      <c r="FY122" s="25"/>
      <c r="FZ122" s="25"/>
      <c r="GA122" s="25"/>
      <c r="GB122" s="25"/>
      <c r="GC122" s="25"/>
      <c r="GD122" s="25"/>
      <c r="GE122" s="25"/>
      <c r="GF122" s="25"/>
      <c r="GG122" s="25"/>
    </row>
    <row r="123" spans="1:189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  <c r="DE123" s="25"/>
      <c r="DF123" s="25"/>
      <c r="DG123" s="25"/>
      <c r="DH123" s="25"/>
      <c r="DI123" s="25"/>
      <c r="DJ123" s="25"/>
      <c r="DK123" s="25"/>
      <c r="DL123" s="25"/>
      <c r="DM123" s="25"/>
      <c r="DN123" s="25"/>
      <c r="DO123" s="25"/>
      <c r="DP123" s="25"/>
      <c r="DQ123" s="25"/>
      <c r="DR123" s="25"/>
      <c r="DS123" s="25"/>
      <c r="DT123" s="25"/>
      <c r="DU123" s="25"/>
      <c r="DV123" s="25"/>
      <c r="DW123" s="25"/>
      <c r="DX123" s="25"/>
      <c r="DY123" s="25"/>
      <c r="DZ123" s="25"/>
      <c r="EA123" s="25"/>
      <c r="EB123" s="25"/>
      <c r="EC123" s="25"/>
      <c r="ED123" s="25"/>
      <c r="EE123" s="25"/>
      <c r="EF123" s="25"/>
      <c r="EG123" s="25"/>
      <c r="EH123" s="25"/>
      <c r="EI123" s="25"/>
      <c r="EJ123" s="25"/>
      <c r="EK123" s="25"/>
      <c r="EL123" s="25"/>
      <c r="EM123" s="25"/>
      <c r="EN123" s="25"/>
      <c r="EO123" s="25"/>
      <c r="EP123" s="25"/>
      <c r="EQ123" s="25"/>
      <c r="ER123" s="25"/>
      <c r="ES123" s="25"/>
      <c r="ET123" s="25"/>
      <c r="EU123" s="25"/>
      <c r="EV123" s="25"/>
      <c r="EW123" s="25"/>
      <c r="EX123" s="25"/>
      <c r="EY123" s="25"/>
      <c r="EZ123" s="25"/>
      <c r="FA123" s="25"/>
      <c r="FB123" s="25"/>
      <c r="FC123" s="25"/>
      <c r="FD123" s="25"/>
      <c r="FE123" s="25"/>
      <c r="FF123" s="25"/>
      <c r="FG123" s="25"/>
      <c r="FH123" s="25"/>
      <c r="FI123" s="25"/>
      <c r="FJ123" s="25"/>
      <c r="FK123" s="25"/>
      <c r="FL123" s="25"/>
      <c r="FM123" s="25"/>
      <c r="FN123" s="25"/>
      <c r="FO123" s="25"/>
      <c r="FP123" s="25"/>
      <c r="FQ123" s="25"/>
      <c r="FR123" s="25"/>
      <c r="FS123" s="25"/>
      <c r="FT123" s="25"/>
      <c r="FU123" s="25"/>
      <c r="FV123" s="25"/>
      <c r="FW123" s="25"/>
      <c r="FX123" s="25"/>
      <c r="FY123" s="25"/>
      <c r="FZ123" s="25"/>
      <c r="GA123" s="25"/>
      <c r="GB123" s="25"/>
      <c r="GC123" s="25"/>
      <c r="GD123" s="25"/>
      <c r="GE123" s="25"/>
      <c r="GF123" s="25"/>
      <c r="GG123" s="25"/>
    </row>
    <row r="124" spans="1:189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5"/>
      <c r="DE124" s="25"/>
      <c r="DF124" s="25"/>
      <c r="DG124" s="25"/>
      <c r="DH124" s="25"/>
      <c r="DI124" s="25"/>
      <c r="DJ124" s="25"/>
      <c r="DK124" s="25"/>
      <c r="DL124" s="25"/>
      <c r="DM124" s="25"/>
      <c r="DN124" s="25"/>
      <c r="DO124" s="25"/>
      <c r="DP124" s="25"/>
      <c r="DQ124" s="25"/>
      <c r="DR124" s="25"/>
      <c r="DS124" s="25"/>
      <c r="DT124" s="25"/>
      <c r="DU124" s="25"/>
      <c r="DV124" s="25"/>
      <c r="DW124" s="25"/>
      <c r="DX124" s="25"/>
      <c r="DY124" s="25"/>
      <c r="DZ124" s="25"/>
      <c r="EA124" s="25"/>
      <c r="EB124" s="25"/>
      <c r="EC124" s="25"/>
      <c r="ED124" s="25"/>
      <c r="EE124" s="25"/>
      <c r="EF124" s="25"/>
      <c r="EG124" s="25"/>
      <c r="EH124" s="25"/>
      <c r="EI124" s="25"/>
      <c r="EJ124" s="25"/>
      <c r="EK124" s="25"/>
      <c r="EL124" s="25"/>
      <c r="EM124" s="25"/>
      <c r="EN124" s="25"/>
      <c r="EO124" s="25"/>
      <c r="EP124" s="25"/>
      <c r="EQ124" s="25"/>
      <c r="ER124" s="25"/>
      <c r="ES124" s="25"/>
      <c r="ET124" s="25"/>
      <c r="EU124" s="25"/>
      <c r="EV124" s="25"/>
      <c r="EW124" s="25"/>
      <c r="EX124" s="25"/>
      <c r="EY124" s="25"/>
      <c r="EZ124" s="25"/>
      <c r="FA124" s="25"/>
      <c r="FB124" s="25"/>
      <c r="FC124" s="25"/>
      <c r="FD124" s="25"/>
      <c r="FE124" s="25"/>
      <c r="FF124" s="25"/>
      <c r="FG124" s="25"/>
      <c r="FH124" s="25"/>
      <c r="FI124" s="25"/>
      <c r="FJ124" s="25"/>
      <c r="FK124" s="25"/>
      <c r="FL124" s="25"/>
      <c r="FM124" s="25"/>
      <c r="FN124" s="25"/>
      <c r="FO124" s="25"/>
      <c r="FP124" s="25"/>
      <c r="FQ124" s="25"/>
      <c r="FR124" s="25"/>
      <c r="FS124" s="25"/>
      <c r="FT124" s="25"/>
      <c r="FU124" s="25"/>
      <c r="FV124" s="25"/>
      <c r="FW124" s="25"/>
      <c r="FX124" s="25"/>
      <c r="FY124" s="25"/>
      <c r="FZ124" s="25"/>
      <c r="GA124" s="25"/>
      <c r="GB124" s="25"/>
      <c r="GC124" s="25"/>
      <c r="GD124" s="25"/>
      <c r="GE124" s="25"/>
      <c r="GF124" s="25"/>
      <c r="GG124" s="25"/>
    </row>
    <row r="125" spans="1:189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5"/>
      <c r="DE125" s="25"/>
      <c r="DF125" s="25"/>
      <c r="DG125" s="25"/>
      <c r="DH125" s="25"/>
      <c r="DI125" s="25"/>
      <c r="DJ125" s="25"/>
      <c r="DK125" s="25"/>
      <c r="DL125" s="25"/>
      <c r="DM125" s="25"/>
      <c r="DN125" s="25"/>
      <c r="DO125" s="25"/>
      <c r="DP125" s="25"/>
      <c r="DQ125" s="25"/>
      <c r="DR125" s="25"/>
      <c r="DS125" s="25"/>
      <c r="DT125" s="25"/>
      <c r="DU125" s="25"/>
      <c r="DV125" s="25"/>
      <c r="DW125" s="25"/>
      <c r="DX125" s="25"/>
      <c r="DY125" s="25"/>
      <c r="DZ125" s="25"/>
      <c r="EA125" s="25"/>
      <c r="EB125" s="25"/>
      <c r="EC125" s="25"/>
      <c r="ED125" s="25"/>
      <c r="EE125" s="25"/>
      <c r="EF125" s="25"/>
      <c r="EG125" s="25"/>
      <c r="EH125" s="25"/>
      <c r="EI125" s="25"/>
      <c r="EJ125" s="25"/>
      <c r="EK125" s="25"/>
      <c r="EL125" s="25"/>
      <c r="EM125" s="25"/>
      <c r="EN125" s="25"/>
      <c r="EO125" s="25"/>
      <c r="EP125" s="25"/>
      <c r="EQ125" s="25"/>
      <c r="ER125" s="25"/>
      <c r="ES125" s="25"/>
      <c r="ET125" s="25"/>
      <c r="EU125" s="25"/>
      <c r="EV125" s="25"/>
      <c r="EW125" s="25"/>
      <c r="EX125" s="25"/>
      <c r="EY125" s="25"/>
      <c r="EZ125" s="25"/>
      <c r="FA125" s="25"/>
      <c r="FB125" s="25"/>
      <c r="FC125" s="25"/>
      <c r="FD125" s="25"/>
      <c r="FE125" s="25"/>
      <c r="FF125" s="25"/>
      <c r="FG125" s="25"/>
      <c r="FH125" s="25"/>
      <c r="FI125" s="25"/>
      <c r="FJ125" s="25"/>
      <c r="FK125" s="25"/>
      <c r="FL125" s="25"/>
      <c r="FM125" s="25"/>
      <c r="FN125" s="25"/>
      <c r="FO125" s="25"/>
      <c r="FP125" s="25"/>
      <c r="FQ125" s="25"/>
      <c r="FR125" s="25"/>
      <c r="FS125" s="25"/>
      <c r="FT125" s="25"/>
      <c r="FU125" s="25"/>
      <c r="FV125" s="25"/>
      <c r="FW125" s="25"/>
      <c r="FX125" s="25"/>
      <c r="FY125" s="25"/>
      <c r="FZ125" s="25"/>
      <c r="GA125" s="25"/>
      <c r="GB125" s="25"/>
      <c r="GC125" s="25"/>
      <c r="GD125" s="25"/>
      <c r="GE125" s="25"/>
      <c r="GF125" s="25"/>
      <c r="GG125" s="25"/>
    </row>
    <row r="126" spans="1:189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/>
      <c r="DU126" s="25"/>
      <c r="DV126" s="25"/>
      <c r="DW126" s="25"/>
      <c r="DX126" s="25"/>
      <c r="DY126" s="25"/>
      <c r="DZ126" s="25"/>
      <c r="EA126" s="25"/>
      <c r="EB126" s="25"/>
      <c r="EC126" s="25"/>
      <c r="ED126" s="25"/>
      <c r="EE126" s="25"/>
      <c r="EF126" s="25"/>
      <c r="EG126" s="25"/>
      <c r="EH126" s="25"/>
      <c r="EI126" s="25"/>
      <c r="EJ126" s="25"/>
      <c r="EK126" s="25"/>
      <c r="EL126" s="25"/>
      <c r="EM126" s="25"/>
      <c r="EN126" s="25"/>
      <c r="EO126" s="25"/>
      <c r="EP126" s="25"/>
      <c r="EQ126" s="25"/>
      <c r="ER126" s="25"/>
      <c r="ES126" s="25"/>
      <c r="ET126" s="25"/>
      <c r="EU126" s="25"/>
      <c r="EV126" s="25"/>
      <c r="EW126" s="25"/>
      <c r="EX126" s="25"/>
      <c r="EY126" s="25"/>
      <c r="EZ126" s="25"/>
      <c r="FA126" s="25"/>
      <c r="FB126" s="25"/>
      <c r="FC126" s="25"/>
      <c r="FD126" s="25"/>
      <c r="FE126" s="25"/>
      <c r="FF126" s="25"/>
      <c r="FG126" s="25"/>
      <c r="FH126" s="25"/>
      <c r="FI126" s="25"/>
      <c r="FJ126" s="25"/>
      <c r="FK126" s="25"/>
      <c r="FL126" s="25"/>
      <c r="FM126" s="25"/>
      <c r="FN126" s="25"/>
      <c r="FO126" s="25"/>
      <c r="FP126" s="25"/>
      <c r="FQ126" s="25"/>
      <c r="FR126" s="25"/>
      <c r="FS126" s="25"/>
      <c r="FT126" s="25"/>
      <c r="FU126" s="25"/>
      <c r="FV126" s="25"/>
      <c r="FW126" s="25"/>
      <c r="FX126" s="25"/>
      <c r="FY126" s="25"/>
      <c r="FZ126" s="25"/>
      <c r="GA126" s="25"/>
      <c r="GB126" s="25"/>
      <c r="GC126" s="25"/>
      <c r="GD126" s="25"/>
      <c r="GE126" s="25"/>
      <c r="GF126" s="25"/>
      <c r="GG126" s="25"/>
    </row>
    <row r="127" spans="1:189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  <c r="DE127" s="25"/>
      <c r="DF127" s="25"/>
      <c r="DG127" s="25"/>
      <c r="DH127" s="25"/>
      <c r="DI127" s="25"/>
      <c r="DJ127" s="25"/>
      <c r="DK127" s="25"/>
      <c r="DL127" s="25"/>
      <c r="DM127" s="25"/>
      <c r="DN127" s="25"/>
      <c r="DO127" s="25"/>
      <c r="DP127" s="25"/>
      <c r="DQ127" s="25"/>
      <c r="DR127" s="25"/>
      <c r="DS127" s="25"/>
      <c r="DT127" s="25"/>
      <c r="DU127" s="25"/>
      <c r="DV127" s="25"/>
      <c r="DW127" s="25"/>
      <c r="DX127" s="25"/>
      <c r="DY127" s="25"/>
      <c r="DZ127" s="25"/>
      <c r="EA127" s="25"/>
      <c r="EB127" s="25"/>
      <c r="EC127" s="25"/>
      <c r="ED127" s="25"/>
      <c r="EE127" s="25"/>
      <c r="EF127" s="25"/>
      <c r="EG127" s="25"/>
      <c r="EH127" s="25"/>
      <c r="EI127" s="25"/>
      <c r="EJ127" s="25"/>
      <c r="EK127" s="25"/>
      <c r="EL127" s="25"/>
      <c r="EM127" s="25"/>
      <c r="EN127" s="25"/>
      <c r="EO127" s="25"/>
      <c r="EP127" s="25"/>
      <c r="EQ127" s="25"/>
      <c r="ER127" s="25"/>
      <c r="ES127" s="25"/>
      <c r="ET127" s="25"/>
      <c r="EU127" s="25"/>
      <c r="EV127" s="25"/>
      <c r="EW127" s="25"/>
      <c r="EX127" s="25"/>
      <c r="EY127" s="25"/>
      <c r="EZ127" s="25"/>
      <c r="FA127" s="25"/>
      <c r="FB127" s="25"/>
      <c r="FC127" s="25"/>
      <c r="FD127" s="25"/>
      <c r="FE127" s="25"/>
      <c r="FF127" s="25"/>
      <c r="FG127" s="25"/>
      <c r="FH127" s="25"/>
      <c r="FI127" s="25"/>
      <c r="FJ127" s="25"/>
      <c r="FK127" s="25"/>
      <c r="FL127" s="25"/>
      <c r="FM127" s="25"/>
      <c r="FN127" s="25"/>
      <c r="FO127" s="25"/>
      <c r="FP127" s="25"/>
      <c r="FQ127" s="25"/>
      <c r="FR127" s="25"/>
      <c r="FS127" s="25"/>
      <c r="FT127" s="25"/>
      <c r="FU127" s="25"/>
      <c r="FV127" s="25"/>
      <c r="FW127" s="25"/>
      <c r="FX127" s="25"/>
      <c r="FY127" s="25"/>
      <c r="FZ127" s="25"/>
      <c r="GA127" s="25"/>
      <c r="GB127" s="25"/>
      <c r="GC127" s="25"/>
      <c r="GD127" s="25"/>
      <c r="GE127" s="25"/>
      <c r="GF127" s="25"/>
      <c r="GG127" s="25"/>
    </row>
    <row r="128" spans="1:189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  <c r="DC128" s="25"/>
      <c r="DD128" s="25"/>
      <c r="DE128" s="25"/>
      <c r="DF128" s="25"/>
      <c r="DG128" s="25"/>
      <c r="DH128" s="25"/>
      <c r="DI128" s="25"/>
      <c r="DJ128" s="25"/>
      <c r="DK128" s="25"/>
      <c r="DL128" s="25"/>
      <c r="DM128" s="25"/>
      <c r="DN128" s="25"/>
      <c r="DO128" s="25"/>
      <c r="DP128" s="25"/>
      <c r="DQ128" s="25"/>
      <c r="DR128" s="25"/>
      <c r="DS128" s="25"/>
      <c r="DT128" s="25"/>
      <c r="DU128" s="25"/>
      <c r="DV128" s="25"/>
      <c r="DW128" s="25"/>
      <c r="DX128" s="25"/>
      <c r="DY128" s="25"/>
      <c r="DZ128" s="25"/>
      <c r="EA128" s="25"/>
      <c r="EB128" s="25"/>
      <c r="EC128" s="25"/>
      <c r="ED128" s="25"/>
      <c r="EE128" s="25"/>
      <c r="EF128" s="25"/>
      <c r="EG128" s="25"/>
      <c r="EH128" s="25"/>
      <c r="EI128" s="25"/>
      <c r="EJ128" s="25"/>
      <c r="EK128" s="25"/>
      <c r="EL128" s="25"/>
      <c r="EM128" s="25"/>
      <c r="EN128" s="25"/>
      <c r="EO128" s="25"/>
      <c r="EP128" s="25"/>
      <c r="EQ128" s="25"/>
      <c r="ER128" s="25"/>
      <c r="ES128" s="25"/>
      <c r="ET128" s="25"/>
      <c r="EU128" s="25"/>
      <c r="EV128" s="25"/>
      <c r="EW128" s="25"/>
      <c r="EX128" s="25"/>
      <c r="EY128" s="25"/>
      <c r="EZ128" s="25"/>
      <c r="FA128" s="25"/>
      <c r="FB128" s="25"/>
      <c r="FC128" s="25"/>
      <c r="FD128" s="25"/>
      <c r="FE128" s="25"/>
      <c r="FF128" s="25"/>
      <c r="FG128" s="25"/>
      <c r="FH128" s="25"/>
      <c r="FI128" s="25"/>
      <c r="FJ128" s="25"/>
      <c r="FK128" s="25"/>
      <c r="FL128" s="25"/>
      <c r="FM128" s="25"/>
      <c r="FN128" s="25"/>
      <c r="FO128" s="25"/>
      <c r="FP128" s="25"/>
      <c r="FQ128" s="25"/>
      <c r="FR128" s="25"/>
      <c r="FS128" s="25"/>
      <c r="FT128" s="25"/>
      <c r="FU128" s="25"/>
      <c r="FV128" s="25"/>
      <c r="FW128" s="25"/>
      <c r="FX128" s="25"/>
      <c r="FY128" s="25"/>
      <c r="FZ128" s="25"/>
      <c r="GA128" s="25"/>
      <c r="GB128" s="25"/>
      <c r="GC128" s="25"/>
      <c r="GD128" s="25"/>
      <c r="GE128" s="25"/>
      <c r="GF128" s="25"/>
      <c r="GG128" s="25"/>
    </row>
    <row r="129" spans="1:189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/>
      <c r="DD129" s="25"/>
      <c r="DE129" s="25"/>
      <c r="DF129" s="25"/>
      <c r="DG129" s="25"/>
      <c r="DH129" s="25"/>
      <c r="DI129" s="25"/>
      <c r="DJ129" s="25"/>
      <c r="DK129" s="25"/>
      <c r="DL129" s="25"/>
      <c r="DM129" s="25"/>
      <c r="DN129" s="25"/>
      <c r="DO129" s="25"/>
      <c r="DP129" s="25"/>
      <c r="DQ129" s="25"/>
      <c r="DR129" s="25"/>
      <c r="DS129" s="25"/>
      <c r="DT129" s="25"/>
      <c r="DU129" s="25"/>
      <c r="DV129" s="25"/>
      <c r="DW129" s="25"/>
      <c r="DX129" s="25"/>
      <c r="DY129" s="25"/>
      <c r="DZ129" s="25"/>
      <c r="EA129" s="25"/>
      <c r="EB129" s="25"/>
      <c r="EC129" s="25"/>
      <c r="ED129" s="25"/>
      <c r="EE129" s="25"/>
      <c r="EF129" s="25"/>
      <c r="EG129" s="25"/>
      <c r="EH129" s="25"/>
      <c r="EI129" s="25"/>
      <c r="EJ129" s="25"/>
      <c r="EK129" s="25"/>
      <c r="EL129" s="25"/>
      <c r="EM129" s="25"/>
      <c r="EN129" s="25"/>
      <c r="EO129" s="25"/>
      <c r="EP129" s="25"/>
      <c r="EQ129" s="25"/>
      <c r="ER129" s="25"/>
      <c r="ES129" s="25"/>
      <c r="ET129" s="25"/>
      <c r="EU129" s="25"/>
      <c r="EV129" s="25"/>
      <c r="EW129" s="25"/>
      <c r="EX129" s="25"/>
      <c r="EY129" s="25"/>
      <c r="EZ129" s="25"/>
      <c r="FA129" s="25"/>
      <c r="FB129" s="25"/>
      <c r="FC129" s="25"/>
      <c r="FD129" s="25"/>
      <c r="FE129" s="25"/>
      <c r="FF129" s="25"/>
      <c r="FG129" s="25"/>
      <c r="FH129" s="25"/>
      <c r="FI129" s="25"/>
      <c r="FJ129" s="25"/>
      <c r="FK129" s="25"/>
      <c r="FL129" s="25"/>
      <c r="FM129" s="25"/>
      <c r="FN129" s="25"/>
      <c r="FO129" s="25"/>
      <c r="FP129" s="25"/>
      <c r="FQ129" s="25"/>
      <c r="FR129" s="25"/>
      <c r="FS129" s="25"/>
      <c r="FT129" s="25"/>
      <c r="FU129" s="25"/>
      <c r="FV129" s="25"/>
      <c r="FW129" s="25"/>
      <c r="FX129" s="25"/>
      <c r="FY129" s="25"/>
      <c r="FZ129" s="25"/>
      <c r="GA129" s="25"/>
      <c r="GB129" s="25"/>
      <c r="GC129" s="25"/>
      <c r="GD129" s="25"/>
      <c r="GE129" s="25"/>
      <c r="GF129" s="25"/>
      <c r="GG129" s="25"/>
    </row>
    <row r="130" spans="1:189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  <c r="CZ130" s="25"/>
      <c r="DA130" s="25"/>
      <c r="DB130" s="25"/>
      <c r="DC130" s="25"/>
      <c r="DD130" s="25"/>
      <c r="DE130" s="25"/>
      <c r="DF130" s="25"/>
      <c r="DG130" s="25"/>
      <c r="DH130" s="25"/>
      <c r="DI130" s="25"/>
      <c r="DJ130" s="25"/>
      <c r="DK130" s="25"/>
      <c r="DL130" s="25"/>
      <c r="DM130" s="25"/>
      <c r="DN130" s="25"/>
      <c r="DO130" s="25"/>
      <c r="DP130" s="25"/>
      <c r="DQ130" s="25"/>
      <c r="DR130" s="25"/>
      <c r="DS130" s="25"/>
      <c r="DT130" s="25"/>
      <c r="DU130" s="25"/>
      <c r="DV130" s="25"/>
      <c r="DW130" s="25"/>
      <c r="DX130" s="25"/>
      <c r="DY130" s="25"/>
      <c r="DZ130" s="25"/>
      <c r="EA130" s="25"/>
      <c r="EB130" s="25"/>
      <c r="EC130" s="25"/>
      <c r="ED130" s="25"/>
      <c r="EE130" s="25"/>
      <c r="EF130" s="25"/>
      <c r="EG130" s="25"/>
      <c r="EH130" s="25"/>
      <c r="EI130" s="25"/>
      <c r="EJ130" s="25"/>
      <c r="EK130" s="25"/>
      <c r="EL130" s="25"/>
      <c r="EM130" s="25"/>
      <c r="EN130" s="25"/>
      <c r="EO130" s="25"/>
      <c r="EP130" s="25"/>
      <c r="EQ130" s="25"/>
      <c r="ER130" s="25"/>
      <c r="ES130" s="25"/>
      <c r="ET130" s="25"/>
      <c r="EU130" s="25"/>
      <c r="EV130" s="25"/>
      <c r="EW130" s="25"/>
      <c r="EX130" s="25"/>
      <c r="EY130" s="25"/>
      <c r="EZ130" s="25"/>
      <c r="FA130" s="25"/>
      <c r="FB130" s="25"/>
      <c r="FC130" s="25"/>
      <c r="FD130" s="25"/>
      <c r="FE130" s="25"/>
      <c r="FF130" s="25"/>
      <c r="FG130" s="25"/>
      <c r="FH130" s="25"/>
      <c r="FI130" s="25"/>
      <c r="FJ130" s="25"/>
      <c r="FK130" s="25"/>
      <c r="FL130" s="25"/>
      <c r="FM130" s="25"/>
      <c r="FN130" s="25"/>
      <c r="FO130" s="25"/>
      <c r="FP130" s="25"/>
      <c r="FQ130" s="25"/>
      <c r="FR130" s="25"/>
      <c r="FS130" s="25"/>
      <c r="FT130" s="25"/>
      <c r="FU130" s="25"/>
      <c r="FV130" s="25"/>
      <c r="FW130" s="25"/>
      <c r="FX130" s="25"/>
      <c r="FY130" s="25"/>
      <c r="FZ130" s="25"/>
      <c r="GA130" s="25"/>
      <c r="GB130" s="25"/>
      <c r="GC130" s="25"/>
      <c r="GD130" s="25"/>
      <c r="GE130" s="25"/>
      <c r="GF130" s="25"/>
      <c r="GG130" s="25"/>
    </row>
    <row r="131" spans="1:189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  <c r="DA131" s="25"/>
      <c r="DB131" s="25"/>
      <c r="DC131" s="25"/>
      <c r="DD131" s="25"/>
      <c r="DE131" s="25"/>
      <c r="DF131" s="25"/>
      <c r="DG131" s="25"/>
      <c r="DH131" s="25"/>
      <c r="DI131" s="25"/>
      <c r="DJ131" s="25"/>
      <c r="DK131" s="25"/>
      <c r="DL131" s="25"/>
      <c r="DM131" s="25"/>
      <c r="DN131" s="25"/>
      <c r="DO131" s="25"/>
      <c r="DP131" s="25"/>
      <c r="DQ131" s="25"/>
      <c r="DR131" s="25"/>
      <c r="DS131" s="25"/>
      <c r="DT131" s="25"/>
      <c r="DU131" s="25"/>
      <c r="DV131" s="25"/>
      <c r="DW131" s="25"/>
      <c r="DX131" s="25"/>
      <c r="DY131" s="25"/>
      <c r="DZ131" s="25"/>
      <c r="EA131" s="25"/>
      <c r="EB131" s="25"/>
      <c r="EC131" s="25"/>
      <c r="ED131" s="25"/>
      <c r="EE131" s="25"/>
      <c r="EF131" s="25"/>
      <c r="EG131" s="25"/>
      <c r="EH131" s="25"/>
      <c r="EI131" s="25"/>
      <c r="EJ131" s="25"/>
      <c r="EK131" s="25"/>
      <c r="EL131" s="25"/>
      <c r="EM131" s="25"/>
      <c r="EN131" s="25"/>
      <c r="EO131" s="25"/>
      <c r="EP131" s="25"/>
      <c r="EQ131" s="25"/>
      <c r="ER131" s="25"/>
      <c r="ES131" s="25"/>
      <c r="ET131" s="25"/>
      <c r="EU131" s="25"/>
      <c r="EV131" s="25"/>
      <c r="EW131" s="25"/>
      <c r="EX131" s="25"/>
      <c r="EY131" s="25"/>
      <c r="EZ131" s="25"/>
      <c r="FA131" s="25"/>
      <c r="FB131" s="25"/>
      <c r="FC131" s="25"/>
      <c r="FD131" s="25"/>
      <c r="FE131" s="25"/>
      <c r="FF131" s="25"/>
      <c r="FG131" s="25"/>
      <c r="FH131" s="25"/>
      <c r="FI131" s="25"/>
      <c r="FJ131" s="25"/>
      <c r="FK131" s="25"/>
      <c r="FL131" s="25"/>
      <c r="FM131" s="25"/>
      <c r="FN131" s="25"/>
      <c r="FO131" s="25"/>
      <c r="FP131" s="25"/>
      <c r="FQ131" s="25"/>
      <c r="FR131" s="25"/>
      <c r="FS131" s="25"/>
      <c r="FT131" s="25"/>
      <c r="FU131" s="25"/>
      <c r="FV131" s="25"/>
      <c r="FW131" s="25"/>
      <c r="FX131" s="25"/>
      <c r="FY131" s="25"/>
      <c r="FZ131" s="25"/>
      <c r="GA131" s="25"/>
      <c r="GB131" s="25"/>
      <c r="GC131" s="25"/>
      <c r="GD131" s="25"/>
      <c r="GE131" s="25"/>
      <c r="GF131" s="25"/>
      <c r="GG131" s="25"/>
    </row>
    <row r="132" spans="1:189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  <c r="DA132" s="25"/>
      <c r="DB132" s="25"/>
      <c r="DC132" s="25"/>
      <c r="DD132" s="25"/>
      <c r="DE132" s="25"/>
      <c r="DF132" s="25"/>
      <c r="DG132" s="25"/>
      <c r="DH132" s="25"/>
      <c r="DI132" s="25"/>
      <c r="DJ132" s="25"/>
      <c r="DK132" s="25"/>
      <c r="DL132" s="25"/>
      <c r="DM132" s="25"/>
      <c r="DN132" s="25"/>
      <c r="DO132" s="25"/>
      <c r="DP132" s="25"/>
      <c r="DQ132" s="25"/>
      <c r="DR132" s="25"/>
      <c r="DS132" s="25"/>
      <c r="DT132" s="25"/>
      <c r="DU132" s="25"/>
      <c r="DV132" s="25"/>
      <c r="DW132" s="25"/>
      <c r="DX132" s="25"/>
      <c r="DY132" s="25"/>
      <c r="DZ132" s="25"/>
      <c r="EA132" s="25"/>
      <c r="EB132" s="25"/>
      <c r="EC132" s="25"/>
      <c r="ED132" s="25"/>
      <c r="EE132" s="25"/>
      <c r="EF132" s="25"/>
      <c r="EG132" s="25"/>
      <c r="EH132" s="25"/>
      <c r="EI132" s="25"/>
      <c r="EJ132" s="25"/>
      <c r="EK132" s="25"/>
      <c r="EL132" s="25"/>
      <c r="EM132" s="25"/>
      <c r="EN132" s="25"/>
      <c r="EO132" s="25"/>
      <c r="EP132" s="25"/>
      <c r="EQ132" s="25"/>
      <c r="ER132" s="25"/>
      <c r="ES132" s="25"/>
      <c r="ET132" s="25"/>
      <c r="EU132" s="25"/>
      <c r="EV132" s="25"/>
      <c r="EW132" s="25"/>
      <c r="EX132" s="25"/>
      <c r="EY132" s="25"/>
      <c r="EZ132" s="25"/>
      <c r="FA132" s="25"/>
      <c r="FB132" s="25"/>
      <c r="FC132" s="25"/>
      <c r="FD132" s="25"/>
      <c r="FE132" s="25"/>
      <c r="FF132" s="25"/>
      <c r="FG132" s="25"/>
      <c r="FH132" s="25"/>
      <c r="FI132" s="25"/>
      <c r="FJ132" s="25"/>
      <c r="FK132" s="25"/>
      <c r="FL132" s="25"/>
      <c r="FM132" s="25"/>
      <c r="FN132" s="25"/>
      <c r="FO132" s="25"/>
      <c r="FP132" s="25"/>
      <c r="FQ132" s="25"/>
      <c r="FR132" s="25"/>
      <c r="FS132" s="25"/>
      <c r="FT132" s="25"/>
      <c r="FU132" s="25"/>
      <c r="FV132" s="25"/>
      <c r="FW132" s="25"/>
      <c r="FX132" s="25"/>
      <c r="FY132" s="25"/>
      <c r="FZ132" s="25"/>
      <c r="GA132" s="25"/>
      <c r="GB132" s="25"/>
      <c r="GC132" s="25"/>
      <c r="GD132" s="25"/>
      <c r="GE132" s="25"/>
      <c r="GF132" s="25"/>
      <c r="GG132" s="25"/>
    </row>
    <row r="133" spans="1:189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/>
      <c r="CW133" s="25"/>
      <c r="CX133" s="25"/>
      <c r="CY133" s="25"/>
      <c r="CZ133" s="25"/>
      <c r="DA133" s="25"/>
      <c r="DB133" s="25"/>
      <c r="DC133" s="25"/>
      <c r="DD133" s="25"/>
      <c r="DE133" s="25"/>
      <c r="DF133" s="25"/>
      <c r="DG133" s="25"/>
      <c r="DH133" s="25"/>
      <c r="DI133" s="25"/>
      <c r="DJ133" s="25"/>
      <c r="DK133" s="25"/>
      <c r="DL133" s="25"/>
      <c r="DM133" s="25"/>
      <c r="DN133" s="25"/>
      <c r="DO133" s="25"/>
      <c r="DP133" s="25"/>
      <c r="DQ133" s="25"/>
      <c r="DR133" s="25"/>
      <c r="DS133" s="25"/>
      <c r="DT133" s="25"/>
      <c r="DU133" s="25"/>
      <c r="DV133" s="25"/>
      <c r="DW133" s="25"/>
      <c r="DX133" s="25"/>
      <c r="DY133" s="25"/>
      <c r="DZ133" s="25"/>
      <c r="EA133" s="25"/>
      <c r="EB133" s="25"/>
      <c r="EC133" s="25"/>
      <c r="ED133" s="25"/>
      <c r="EE133" s="25"/>
      <c r="EF133" s="25"/>
      <c r="EG133" s="25"/>
      <c r="EH133" s="25"/>
      <c r="EI133" s="25"/>
      <c r="EJ133" s="25"/>
      <c r="EK133" s="25"/>
      <c r="EL133" s="25"/>
      <c r="EM133" s="25"/>
      <c r="EN133" s="25"/>
      <c r="EO133" s="25"/>
      <c r="EP133" s="25"/>
      <c r="EQ133" s="25"/>
      <c r="ER133" s="25"/>
      <c r="ES133" s="25"/>
      <c r="ET133" s="25"/>
      <c r="EU133" s="25"/>
      <c r="EV133" s="25"/>
      <c r="EW133" s="25"/>
      <c r="EX133" s="25"/>
      <c r="EY133" s="25"/>
      <c r="EZ133" s="25"/>
      <c r="FA133" s="25"/>
      <c r="FB133" s="25"/>
      <c r="FC133" s="25"/>
      <c r="FD133" s="25"/>
      <c r="FE133" s="25"/>
      <c r="FF133" s="25"/>
      <c r="FG133" s="25"/>
      <c r="FH133" s="25"/>
      <c r="FI133" s="25"/>
      <c r="FJ133" s="25"/>
      <c r="FK133" s="25"/>
      <c r="FL133" s="25"/>
      <c r="FM133" s="25"/>
      <c r="FN133" s="25"/>
      <c r="FO133" s="25"/>
      <c r="FP133" s="25"/>
      <c r="FQ133" s="25"/>
      <c r="FR133" s="25"/>
      <c r="FS133" s="25"/>
      <c r="FT133" s="25"/>
      <c r="FU133" s="25"/>
      <c r="FV133" s="25"/>
      <c r="FW133" s="25"/>
      <c r="FX133" s="25"/>
      <c r="FY133" s="25"/>
      <c r="FZ133" s="25"/>
      <c r="GA133" s="25"/>
      <c r="GB133" s="25"/>
      <c r="GC133" s="25"/>
      <c r="GD133" s="25"/>
      <c r="GE133" s="25"/>
      <c r="GF133" s="25"/>
      <c r="GG133" s="25"/>
    </row>
    <row r="134" spans="1:189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/>
      <c r="DD134" s="25"/>
      <c r="DE134" s="25"/>
      <c r="DF134" s="25"/>
      <c r="DG134" s="25"/>
      <c r="DH134" s="25"/>
      <c r="DI134" s="25"/>
      <c r="DJ134" s="25"/>
      <c r="DK134" s="25"/>
      <c r="DL134" s="25"/>
      <c r="DM134" s="25"/>
      <c r="DN134" s="25"/>
      <c r="DO134" s="25"/>
      <c r="DP134" s="25"/>
      <c r="DQ134" s="25"/>
      <c r="DR134" s="25"/>
      <c r="DS134" s="25"/>
      <c r="DT134" s="25"/>
      <c r="DU134" s="25"/>
      <c r="DV134" s="25"/>
      <c r="DW134" s="25"/>
      <c r="DX134" s="25"/>
      <c r="DY134" s="25"/>
      <c r="DZ134" s="25"/>
      <c r="EA134" s="25"/>
      <c r="EB134" s="25"/>
      <c r="EC134" s="25"/>
      <c r="ED134" s="25"/>
      <c r="EE134" s="25"/>
      <c r="EF134" s="25"/>
      <c r="EG134" s="25"/>
      <c r="EH134" s="25"/>
      <c r="EI134" s="25"/>
      <c r="EJ134" s="25"/>
      <c r="EK134" s="25"/>
      <c r="EL134" s="25"/>
      <c r="EM134" s="25"/>
      <c r="EN134" s="25"/>
      <c r="EO134" s="25"/>
      <c r="EP134" s="25"/>
      <c r="EQ134" s="25"/>
      <c r="ER134" s="25"/>
      <c r="ES134" s="25"/>
      <c r="ET134" s="25"/>
      <c r="EU134" s="25"/>
      <c r="EV134" s="25"/>
      <c r="EW134" s="25"/>
      <c r="EX134" s="25"/>
      <c r="EY134" s="25"/>
      <c r="EZ134" s="25"/>
      <c r="FA134" s="25"/>
      <c r="FB134" s="25"/>
      <c r="FC134" s="25"/>
      <c r="FD134" s="25"/>
      <c r="FE134" s="25"/>
      <c r="FF134" s="25"/>
      <c r="FG134" s="25"/>
      <c r="FH134" s="25"/>
      <c r="FI134" s="25"/>
      <c r="FJ134" s="25"/>
      <c r="FK134" s="25"/>
      <c r="FL134" s="25"/>
      <c r="FM134" s="25"/>
      <c r="FN134" s="25"/>
      <c r="FO134" s="25"/>
      <c r="FP134" s="25"/>
      <c r="FQ134" s="25"/>
      <c r="FR134" s="25"/>
      <c r="FS134" s="25"/>
      <c r="FT134" s="25"/>
      <c r="FU134" s="25"/>
      <c r="FV134" s="25"/>
      <c r="FW134" s="25"/>
      <c r="FX134" s="25"/>
      <c r="FY134" s="25"/>
      <c r="FZ134" s="25"/>
      <c r="GA134" s="25"/>
      <c r="GB134" s="25"/>
      <c r="GC134" s="25"/>
      <c r="GD134" s="25"/>
      <c r="GE134" s="25"/>
      <c r="GF134" s="25"/>
      <c r="GG134" s="25"/>
    </row>
    <row r="135" spans="1:189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  <c r="DA135" s="25"/>
      <c r="DB135" s="25"/>
      <c r="DC135" s="25"/>
      <c r="DD135" s="25"/>
      <c r="DE135" s="25"/>
      <c r="DF135" s="25"/>
      <c r="DG135" s="25"/>
      <c r="DH135" s="25"/>
      <c r="DI135" s="25"/>
      <c r="DJ135" s="25"/>
      <c r="DK135" s="25"/>
      <c r="DL135" s="25"/>
      <c r="DM135" s="25"/>
      <c r="DN135" s="25"/>
      <c r="DO135" s="25"/>
      <c r="DP135" s="25"/>
      <c r="DQ135" s="25"/>
      <c r="DR135" s="25"/>
      <c r="DS135" s="25"/>
      <c r="DT135" s="25"/>
      <c r="DU135" s="25"/>
      <c r="DV135" s="25"/>
      <c r="DW135" s="25"/>
      <c r="DX135" s="25"/>
      <c r="DY135" s="25"/>
      <c r="DZ135" s="25"/>
      <c r="EA135" s="25"/>
      <c r="EB135" s="25"/>
      <c r="EC135" s="25"/>
      <c r="ED135" s="25"/>
      <c r="EE135" s="25"/>
      <c r="EF135" s="25"/>
      <c r="EG135" s="25"/>
      <c r="EH135" s="25"/>
      <c r="EI135" s="25"/>
      <c r="EJ135" s="25"/>
      <c r="EK135" s="25"/>
      <c r="EL135" s="25"/>
      <c r="EM135" s="25"/>
      <c r="EN135" s="25"/>
      <c r="EO135" s="25"/>
      <c r="EP135" s="25"/>
      <c r="EQ135" s="25"/>
      <c r="ER135" s="25"/>
      <c r="ES135" s="25"/>
      <c r="ET135" s="25"/>
      <c r="EU135" s="25"/>
      <c r="EV135" s="25"/>
      <c r="EW135" s="25"/>
      <c r="EX135" s="25"/>
      <c r="EY135" s="25"/>
      <c r="EZ135" s="25"/>
      <c r="FA135" s="25"/>
      <c r="FB135" s="25"/>
      <c r="FC135" s="25"/>
      <c r="FD135" s="25"/>
      <c r="FE135" s="25"/>
      <c r="FF135" s="25"/>
      <c r="FG135" s="25"/>
      <c r="FH135" s="25"/>
      <c r="FI135" s="25"/>
      <c r="FJ135" s="25"/>
      <c r="FK135" s="25"/>
      <c r="FL135" s="25"/>
      <c r="FM135" s="25"/>
      <c r="FN135" s="25"/>
      <c r="FO135" s="25"/>
      <c r="FP135" s="25"/>
      <c r="FQ135" s="25"/>
      <c r="FR135" s="25"/>
      <c r="FS135" s="25"/>
      <c r="FT135" s="25"/>
      <c r="FU135" s="25"/>
      <c r="FV135" s="25"/>
      <c r="FW135" s="25"/>
      <c r="FX135" s="25"/>
      <c r="FY135" s="25"/>
      <c r="FZ135" s="25"/>
      <c r="GA135" s="25"/>
      <c r="GB135" s="25"/>
      <c r="GC135" s="25"/>
      <c r="GD135" s="25"/>
      <c r="GE135" s="25"/>
      <c r="GF135" s="25"/>
      <c r="GG135" s="25"/>
    </row>
    <row r="136" spans="1:189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  <c r="CV136" s="25"/>
      <c r="CW136" s="25"/>
      <c r="CX136" s="25"/>
      <c r="CY136" s="25"/>
      <c r="CZ136" s="25"/>
      <c r="DA136" s="25"/>
      <c r="DB136" s="25"/>
      <c r="DC136" s="25"/>
      <c r="DD136" s="25"/>
      <c r="DE136" s="25"/>
      <c r="DF136" s="25"/>
      <c r="DG136" s="25"/>
      <c r="DH136" s="25"/>
      <c r="DI136" s="25"/>
      <c r="DJ136" s="25"/>
      <c r="DK136" s="25"/>
      <c r="DL136" s="25"/>
      <c r="DM136" s="25"/>
      <c r="DN136" s="25"/>
      <c r="DO136" s="25"/>
      <c r="DP136" s="25"/>
      <c r="DQ136" s="25"/>
      <c r="DR136" s="25"/>
      <c r="DS136" s="25"/>
      <c r="DT136" s="25"/>
      <c r="DU136" s="25"/>
      <c r="DV136" s="25"/>
      <c r="DW136" s="25"/>
      <c r="DX136" s="25"/>
      <c r="DY136" s="25"/>
      <c r="DZ136" s="25"/>
      <c r="EA136" s="25"/>
      <c r="EB136" s="25"/>
      <c r="EC136" s="25"/>
      <c r="ED136" s="25"/>
      <c r="EE136" s="25"/>
      <c r="EF136" s="25"/>
      <c r="EG136" s="25"/>
      <c r="EH136" s="25"/>
      <c r="EI136" s="25"/>
      <c r="EJ136" s="25"/>
      <c r="EK136" s="25"/>
      <c r="EL136" s="25"/>
      <c r="EM136" s="25"/>
      <c r="EN136" s="25"/>
      <c r="EO136" s="25"/>
      <c r="EP136" s="25"/>
      <c r="EQ136" s="25"/>
      <c r="ER136" s="25"/>
      <c r="ES136" s="25"/>
      <c r="ET136" s="25"/>
      <c r="EU136" s="25"/>
      <c r="EV136" s="25"/>
      <c r="EW136" s="25"/>
      <c r="EX136" s="25"/>
      <c r="EY136" s="25"/>
      <c r="EZ136" s="25"/>
      <c r="FA136" s="25"/>
      <c r="FB136" s="25"/>
      <c r="FC136" s="25"/>
      <c r="FD136" s="25"/>
      <c r="FE136" s="25"/>
      <c r="FF136" s="25"/>
      <c r="FG136" s="25"/>
      <c r="FH136" s="25"/>
      <c r="FI136" s="25"/>
      <c r="FJ136" s="25"/>
      <c r="FK136" s="25"/>
      <c r="FL136" s="25"/>
      <c r="FM136" s="25"/>
      <c r="FN136" s="25"/>
      <c r="FO136" s="25"/>
      <c r="FP136" s="25"/>
      <c r="FQ136" s="25"/>
      <c r="FR136" s="25"/>
      <c r="FS136" s="25"/>
      <c r="FT136" s="25"/>
      <c r="FU136" s="25"/>
      <c r="FV136" s="25"/>
      <c r="FW136" s="25"/>
      <c r="FX136" s="25"/>
      <c r="FY136" s="25"/>
      <c r="FZ136" s="25"/>
      <c r="GA136" s="25"/>
      <c r="GB136" s="25"/>
      <c r="GC136" s="25"/>
      <c r="GD136" s="25"/>
      <c r="GE136" s="25"/>
      <c r="GF136" s="25"/>
      <c r="GG136" s="25"/>
    </row>
    <row r="137" spans="1:189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  <c r="CZ137" s="25"/>
      <c r="DA137" s="25"/>
      <c r="DB137" s="25"/>
      <c r="DC137" s="25"/>
      <c r="DD137" s="25"/>
      <c r="DE137" s="25"/>
      <c r="DF137" s="25"/>
      <c r="DG137" s="25"/>
      <c r="DH137" s="25"/>
      <c r="DI137" s="25"/>
      <c r="DJ137" s="25"/>
      <c r="DK137" s="25"/>
      <c r="DL137" s="25"/>
      <c r="DM137" s="25"/>
      <c r="DN137" s="25"/>
      <c r="DO137" s="25"/>
      <c r="DP137" s="25"/>
      <c r="DQ137" s="25"/>
      <c r="DR137" s="25"/>
      <c r="DS137" s="25"/>
      <c r="DT137" s="25"/>
      <c r="DU137" s="25"/>
      <c r="DV137" s="25"/>
      <c r="DW137" s="25"/>
      <c r="DX137" s="25"/>
      <c r="DY137" s="25"/>
      <c r="DZ137" s="25"/>
      <c r="EA137" s="25"/>
      <c r="EB137" s="25"/>
      <c r="EC137" s="25"/>
      <c r="ED137" s="25"/>
      <c r="EE137" s="25"/>
      <c r="EF137" s="25"/>
      <c r="EG137" s="25"/>
      <c r="EH137" s="25"/>
      <c r="EI137" s="25"/>
      <c r="EJ137" s="25"/>
      <c r="EK137" s="25"/>
      <c r="EL137" s="25"/>
      <c r="EM137" s="25"/>
      <c r="EN137" s="25"/>
      <c r="EO137" s="25"/>
      <c r="EP137" s="25"/>
      <c r="EQ137" s="25"/>
      <c r="ER137" s="25"/>
      <c r="ES137" s="25"/>
      <c r="ET137" s="25"/>
      <c r="EU137" s="25"/>
      <c r="EV137" s="25"/>
      <c r="EW137" s="25"/>
      <c r="EX137" s="25"/>
      <c r="EY137" s="25"/>
      <c r="EZ137" s="25"/>
      <c r="FA137" s="25"/>
      <c r="FB137" s="25"/>
      <c r="FC137" s="25"/>
      <c r="FD137" s="25"/>
      <c r="FE137" s="25"/>
      <c r="FF137" s="25"/>
      <c r="FG137" s="25"/>
      <c r="FH137" s="25"/>
      <c r="FI137" s="25"/>
      <c r="FJ137" s="25"/>
      <c r="FK137" s="25"/>
      <c r="FL137" s="25"/>
      <c r="FM137" s="25"/>
      <c r="FN137" s="25"/>
      <c r="FO137" s="25"/>
      <c r="FP137" s="25"/>
      <c r="FQ137" s="25"/>
      <c r="FR137" s="25"/>
      <c r="FS137" s="25"/>
      <c r="FT137" s="25"/>
      <c r="FU137" s="25"/>
      <c r="FV137" s="25"/>
      <c r="FW137" s="25"/>
      <c r="FX137" s="25"/>
      <c r="FY137" s="25"/>
      <c r="FZ137" s="25"/>
      <c r="GA137" s="25"/>
      <c r="GB137" s="25"/>
      <c r="GC137" s="25"/>
      <c r="GD137" s="25"/>
      <c r="GE137" s="25"/>
      <c r="GF137" s="25"/>
      <c r="GG137" s="25"/>
    </row>
    <row r="138" spans="1:189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25"/>
      <c r="DC138" s="25"/>
      <c r="DD138" s="25"/>
      <c r="DE138" s="25"/>
      <c r="DF138" s="25"/>
      <c r="DG138" s="25"/>
      <c r="DH138" s="25"/>
      <c r="DI138" s="25"/>
      <c r="DJ138" s="25"/>
      <c r="DK138" s="25"/>
      <c r="DL138" s="25"/>
      <c r="DM138" s="25"/>
      <c r="DN138" s="25"/>
      <c r="DO138" s="25"/>
      <c r="DP138" s="25"/>
      <c r="DQ138" s="25"/>
      <c r="DR138" s="25"/>
      <c r="DS138" s="25"/>
      <c r="DT138" s="25"/>
      <c r="DU138" s="25"/>
      <c r="DV138" s="25"/>
      <c r="DW138" s="25"/>
      <c r="DX138" s="25"/>
      <c r="DY138" s="25"/>
      <c r="DZ138" s="25"/>
      <c r="EA138" s="25"/>
      <c r="EB138" s="25"/>
      <c r="EC138" s="25"/>
      <c r="ED138" s="25"/>
      <c r="EE138" s="25"/>
      <c r="EF138" s="25"/>
      <c r="EG138" s="25"/>
      <c r="EH138" s="25"/>
      <c r="EI138" s="25"/>
      <c r="EJ138" s="25"/>
      <c r="EK138" s="25"/>
      <c r="EL138" s="25"/>
      <c r="EM138" s="25"/>
      <c r="EN138" s="25"/>
      <c r="EO138" s="25"/>
      <c r="EP138" s="25"/>
      <c r="EQ138" s="25"/>
      <c r="ER138" s="25"/>
      <c r="ES138" s="25"/>
      <c r="ET138" s="25"/>
      <c r="EU138" s="25"/>
      <c r="EV138" s="25"/>
      <c r="EW138" s="25"/>
      <c r="EX138" s="25"/>
      <c r="EY138" s="25"/>
      <c r="EZ138" s="25"/>
      <c r="FA138" s="25"/>
      <c r="FB138" s="25"/>
      <c r="FC138" s="25"/>
      <c r="FD138" s="25"/>
      <c r="FE138" s="25"/>
      <c r="FF138" s="25"/>
      <c r="FG138" s="25"/>
      <c r="FH138" s="25"/>
      <c r="FI138" s="25"/>
      <c r="FJ138" s="25"/>
      <c r="FK138" s="25"/>
      <c r="FL138" s="25"/>
      <c r="FM138" s="25"/>
      <c r="FN138" s="25"/>
      <c r="FO138" s="25"/>
      <c r="FP138" s="25"/>
      <c r="FQ138" s="25"/>
      <c r="FR138" s="25"/>
      <c r="FS138" s="25"/>
      <c r="FT138" s="25"/>
      <c r="FU138" s="25"/>
      <c r="FV138" s="25"/>
      <c r="FW138" s="25"/>
      <c r="FX138" s="25"/>
      <c r="FY138" s="25"/>
      <c r="FZ138" s="25"/>
      <c r="GA138" s="25"/>
      <c r="GB138" s="25"/>
      <c r="GC138" s="25"/>
      <c r="GD138" s="25"/>
      <c r="GE138" s="25"/>
      <c r="GF138" s="25"/>
      <c r="GG138" s="25"/>
    </row>
    <row r="139" spans="1:189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  <c r="DA139" s="25"/>
      <c r="DB139" s="25"/>
      <c r="DC139" s="25"/>
      <c r="DD139" s="25"/>
      <c r="DE139" s="25"/>
      <c r="DF139" s="25"/>
      <c r="DG139" s="25"/>
      <c r="DH139" s="25"/>
      <c r="DI139" s="25"/>
      <c r="DJ139" s="25"/>
      <c r="DK139" s="25"/>
      <c r="DL139" s="25"/>
      <c r="DM139" s="25"/>
      <c r="DN139" s="25"/>
      <c r="DO139" s="25"/>
      <c r="DP139" s="25"/>
      <c r="DQ139" s="25"/>
      <c r="DR139" s="25"/>
      <c r="DS139" s="25"/>
      <c r="DT139" s="25"/>
      <c r="DU139" s="25"/>
      <c r="DV139" s="25"/>
      <c r="DW139" s="25"/>
      <c r="DX139" s="25"/>
      <c r="DY139" s="25"/>
      <c r="DZ139" s="25"/>
      <c r="EA139" s="25"/>
      <c r="EB139" s="25"/>
      <c r="EC139" s="25"/>
      <c r="ED139" s="25"/>
      <c r="EE139" s="25"/>
      <c r="EF139" s="25"/>
      <c r="EG139" s="25"/>
      <c r="EH139" s="25"/>
      <c r="EI139" s="25"/>
      <c r="EJ139" s="25"/>
      <c r="EK139" s="25"/>
      <c r="EL139" s="25"/>
      <c r="EM139" s="25"/>
      <c r="EN139" s="25"/>
      <c r="EO139" s="25"/>
      <c r="EP139" s="25"/>
      <c r="EQ139" s="25"/>
      <c r="ER139" s="25"/>
      <c r="ES139" s="25"/>
      <c r="ET139" s="25"/>
      <c r="EU139" s="25"/>
      <c r="EV139" s="25"/>
      <c r="EW139" s="25"/>
      <c r="EX139" s="25"/>
      <c r="EY139" s="25"/>
      <c r="EZ139" s="25"/>
      <c r="FA139" s="25"/>
      <c r="FB139" s="25"/>
      <c r="FC139" s="25"/>
      <c r="FD139" s="25"/>
      <c r="FE139" s="25"/>
      <c r="FF139" s="25"/>
      <c r="FG139" s="25"/>
      <c r="FH139" s="25"/>
      <c r="FI139" s="25"/>
      <c r="FJ139" s="25"/>
      <c r="FK139" s="25"/>
      <c r="FL139" s="25"/>
      <c r="FM139" s="25"/>
      <c r="FN139" s="25"/>
      <c r="FO139" s="25"/>
      <c r="FP139" s="25"/>
      <c r="FQ139" s="25"/>
      <c r="FR139" s="25"/>
      <c r="FS139" s="25"/>
      <c r="FT139" s="25"/>
      <c r="FU139" s="25"/>
      <c r="FV139" s="25"/>
      <c r="FW139" s="25"/>
      <c r="FX139" s="25"/>
      <c r="FY139" s="25"/>
      <c r="FZ139" s="25"/>
      <c r="GA139" s="25"/>
      <c r="GB139" s="25"/>
      <c r="GC139" s="25"/>
      <c r="GD139" s="25"/>
      <c r="GE139" s="25"/>
      <c r="GF139" s="25"/>
      <c r="GG139" s="25"/>
    </row>
    <row r="140" spans="1:189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/>
      <c r="CW140" s="25"/>
      <c r="CX140" s="25"/>
      <c r="CY140" s="25"/>
      <c r="CZ140" s="25"/>
      <c r="DA140" s="25"/>
      <c r="DB140" s="25"/>
      <c r="DC140" s="25"/>
      <c r="DD140" s="25"/>
      <c r="DE140" s="25"/>
      <c r="DF140" s="25"/>
      <c r="DG140" s="25"/>
      <c r="DH140" s="25"/>
      <c r="DI140" s="25"/>
      <c r="DJ140" s="25"/>
      <c r="DK140" s="25"/>
      <c r="DL140" s="25"/>
      <c r="DM140" s="25"/>
      <c r="DN140" s="25"/>
      <c r="DO140" s="25"/>
      <c r="DP140" s="25"/>
      <c r="DQ140" s="25"/>
      <c r="DR140" s="25"/>
      <c r="DS140" s="25"/>
      <c r="DT140" s="25"/>
      <c r="DU140" s="25"/>
      <c r="DV140" s="25"/>
      <c r="DW140" s="25"/>
      <c r="DX140" s="25"/>
      <c r="DY140" s="25"/>
      <c r="DZ140" s="25"/>
      <c r="EA140" s="25"/>
      <c r="EB140" s="25"/>
      <c r="EC140" s="25"/>
      <c r="ED140" s="25"/>
      <c r="EE140" s="25"/>
      <c r="EF140" s="25"/>
      <c r="EG140" s="25"/>
      <c r="EH140" s="25"/>
      <c r="EI140" s="25"/>
      <c r="EJ140" s="25"/>
      <c r="EK140" s="25"/>
      <c r="EL140" s="25"/>
      <c r="EM140" s="25"/>
      <c r="EN140" s="25"/>
      <c r="EO140" s="25"/>
      <c r="EP140" s="25"/>
      <c r="EQ140" s="25"/>
      <c r="ER140" s="25"/>
      <c r="ES140" s="25"/>
      <c r="ET140" s="25"/>
      <c r="EU140" s="25"/>
      <c r="EV140" s="25"/>
      <c r="EW140" s="25"/>
      <c r="EX140" s="25"/>
      <c r="EY140" s="25"/>
      <c r="EZ140" s="25"/>
      <c r="FA140" s="25"/>
      <c r="FB140" s="25"/>
      <c r="FC140" s="25"/>
      <c r="FD140" s="25"/>
      <c r="FE140" s="25"/>
      <c r="FF140" s="25"/>
      <c r="FG140" s="25"/>
      <c r="FH140" s="25"/>
      <c r="FI140" s="25"/>
      <c r="FJ140" s="25"/>
      <c r="FK140" s="25"/>
      <c r="FL140" s="25"/>
      <c r="FM140" s="25"/>
      <c r="FN140" s="25"/>
      <c r="FO140" s="25"/>
      <c r="FP140" s="25"/>
      <c r="FQ140" s="25"/>
      <c r="FR140" s="25"/>
      <c r="FS140" s="25"/>
      <c r="FT140" s="25"/>
      <c r="FU140" s="25"/>
      <c r="FV140" s="25"/>
      <c r="FW140" s="25"/>
      <c r="FX140" s="25"/>
      <c r="FY140" s="25"/>
      <c r="FZ140" s="25"/>
      <c r="GA140" s="25"/>
      <c r="GB140" s="25"/>
      <c r="GC140" s="25"/>
      <c r="GD140" s="25"/>
      <c r="GE140" s="25"/>
      <c r="GF140" s="25"/>
      <c r="GG140" s="25"/>
    </row>
    <row r="141" spans="1:189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  <c r="DA141" s="25"/>
      <c r="DB141" s="25"/>
      <c r="DC141" s="25"/>
      <c r="DD141" s="25"/>
      <c r="DE141" s="25"/>
      <c r="DF141" s="25"/>
      <c r="DG141" s="25"/>
      <c r="DH141" s="25"/>
      <c r="DI141" s="25"/>
      <c r="DJ141" s="25"/>
      <c r="DK141" s="25"/>
      <c r="DL141" s="25"/>
      <c r="DM141" s="25"/>
      <c r="DN141" s="25"/>
      <c r="DO141" s="25"/>
      <c r="DP141" s="25"/>
      <c r="DQ141" s="25"/>
      <c r="DR141" s="25"/>
      <c r="DS141" s="25"/>
      <c r="DT141" s="25"/>
      <c r="DU141" s="25"/>
      <c r="DV141" s="25"/>
      <c r="DW141" s="25"/>
      <c r="DX141" s="25"/>
      <c r="DY141" s="25"/>
      <c r="DZ141" s="25"/>
      <c r="EA141" s="25"/>
      <c r="EB141" s="25"/>
      <c r="EC141" s="25"/>
      <c r="ED141" s="25"/>
      <c r="EE141" s="25"/>
      <c r="EF141" s="25"/>
      <c r="EG141" s="25"/>
      <c r="EH141" s="25"/>
      <c r="EI141" s="25"/>
      <c r="EJ141" s="25"/>
      <c r="EK141" s="25"/>
      <c r="EL141" s="25"/>
      <c r="EM141" s="25"/>
      <c r="EN141" s="25"/>
      <c r="EO141" s="25"/>
      <c r="EP141" s="25"/>
      <c r="EQ141" s="25"/>
      <c r="ER141" s="25"/>
      <c r="ES141" s="25"/>
      <c r="ET141" s="25"/>
      <c r="EU141" s="25"/>
      <c r="EV141" s="25"/>
      <c r="EW141" s="25"/>
      <c r="EX141" s="25"/>
      <c r="EY141" s="25"/>
      <c r="EZ141" s="25"/>
      <c r="FA141" s="25"/>
      <c r="FB141" s="25"/>
      <c r="FC141" s="25"/>
      <c r="FD141" s="25"/>
      <c r="FE141" s="25"/>
      <c r="FF141" s="25"/>
      <c r="FG141" s="25"/>
      <c r="FH141" s="25"/>
      <c r="FI141" s="25"/>
      <c r="FJ141" s="25"/>
      <c r="FK141" s="25"/>
      <c r="FL141" s="25"/>
      <c r="FM141" s="25"/>
      <c r="FN141" s="25"/>
      <c r="FO141" s="25"/>
      <c r="FP141" s="25"/>
      <c r="FQ141" s="25"/>
      <c r="FR141" s="25"/>
      <c r="FS141" s="25"/>
      <c r="FT141" s="25"/>
      <c r="FU141" s="25"/>
      <c r="FV141" s="25"/>
      <c r="FW141" s="25"/>
      <c r="FX141" s="25"/>
      <c r="FY141" s="25"/>
      <c r="FZ141" s="25"/>
      <c r="GA141" s="25"/>
      <c r="GB141" s="25"/>
      <c r="GC141" s="25"/>
      <c r="GD141" s="25"/>
      <c r="GE141" s="25"/>
      <c r="GF141" s="25"/>
      <c r="GG141" s="25"/>
    </row>
    <row r="142" spans="1:189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  <c r="DA142" s="25"/>
      <c r="DB142" s="25"/>
      <c r="DC142" s="25"/>
      <c r="DD142" s="25"/>
      <c r="DE142" s="25"/>
      <c r="DF142" s="25"/>
      <c r="DG142" s="25"/>
      <c r="DH142" s="25"/>
      <c r="DI142" s="25"/>
      <c r="DJ142" s="25"/>
      <c r="DK142" s="25"/>
      <c r="DL142" s="25"/>
      <c r="DM142" s="25"/>
      <c r="DN142" s="25"/>
      <c r="DO142" s="25"/>
      <c r="DP142" s="25"/>
      <c r="DQ142" s="25"/>
      <c r="DR142" s="25"/>
      <c r="DS142" s="25"/>
      <c r="DT142" s="25"/>
      <c r="DU142" s="25"/>
      <c r="DV142" s="25"/>
      <c r="DW142" s="25"/>
      <c r="DX142" s="25"/>
      <c r="DY142" s="25"/>
      <c r="DZ142" s="25"/>
      <c r="EA142" s="25"/>
      <c r="EB142" s="25"/>
      <c r="EC142" s="25"/>
      <c r="ED142" s="25"/>
      <c r="EE142" s="25"/>
      <c r="EF142" s="25"/>
      <c r="EG142" s="25"/>
      <c r="EH142" s="25"/>
      <c r="EI142" s="25"/>
      <c r="EJ142" s="25"/>
      <c r="EK142" s="25"/>
      <c r="EL142" s="25"/>
      <c r="EM142" s="25"/>
      <c r="EN142" s="25"/>
      <c r="EO142" s="25"/>
      <c r="EP142" s="25"/>
      <c r="EQ142" s="25"/>
      <c r="ER142" s="25"/>
      <c r="ES142" s="25"/>
      <c r="ET142" s="25"/>
      <c r="EU142" s="25"/>
      <c r="EV142" s="25"/>
      <c r="EW142" s="25"/>
      <c r="EX142" s="25"/>
      <c r="EY142" s="25"/>
      <c r="EZ142" s="25"/>
      <c r="FA142" s="25"/>
      <c r="FB142" s="25"/>
      <c r="FC142" s="25"/>
      <c r="FD142" s="25"/>
      <c r="FE142" s="25"/>
      <c r="FF142" s="25"/>
      <c r="FG142" s="25"/>
      <c r="FH142" s="25"/>
      <c r="FI142" s="25"/>
      <c r="FJ142" s="25"/>
      <c r="FK142" s="25"/>
      <c r="FL142" s="25"/>
      <c r="FM142" s="25"/>
      <c r="FN142" s="25"/>
      <c r="FO142" s="25"/>
      <c r="FP142" s="25"/>
      <c r="FQ142" s="25"/>
      <c r="FR142" s="25"/>
      <c r="FS142" s="25"/>
      <c r="FT142" s="25"/>
      <c r="FU142" s="25"/>
      <c r="FV142" s="25"/>
      <c r="FW142" s="25"/>
      <c r="FX142" s="25"/>
      <c r="FY142" s="25"/>
      <c r="FZ142" s="25"/>
      <c r="GA142" s="25"/>
      <c r="GB142" s="25"/>
      <c r="GC142" s="25"/>
      <c r="GD142" s="25"/>
      <c r="GE142" s="25"/>
      <c r="GF142" s="25"/>
      <c r="GG142" s="25"/>
    </row>
    <row r="143" spans="1:189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  <c r="DE143" s="25"/>
      <c r="DF143" s="25"/>
      <c r="DG143" s="25"/>
      <c r="DH143" s="25"/>
      <c r="DI143" s="25"/>
      <c r="DJ143" s="25"/>
      <c r="DK143" s="25"/>
      <c r="DL143" s="25"/>
      <c r="DM143" s="25"/>
      <c r="DN143" s="25"/>
      <c r="DO143" s="25"/>
      <c r="DP143" s="25"/>
      <c r="DQ143" s="25"/>
      <c r="DR143" s="25"/>
      <c r="DS143" s="25"/>
      <c r="DT143" s="25"/>
      <c r="DU143" s="25"/>
      <c r="DV143" s="25"/>
      <c r="DW143" s="25"/>
      <c r="DX143" s="25"/>
      <c r="DY143" s="25"/>
      <c r="DZ143" s="25"/>
      <c r="EA143" s="25"/>
      <c r="EB143" s="25"/>
      <c r="EC143" s="25"/>
      <c r="ED143" s="25"/>
      <c r="EE143" s="25"/>
      <c r="EF143" s="25"/>
      <c r="EG143" s="25"/>
      <c r="EH143" s="25"/>
      <c r="EI143" s="25"/>
      <c r="EJ143" s="25"/>
      <c r="EK143" s="25"/>
      <c r="EL143" s="25"/>
      <c r="EM143" s="25"/>
      <c r="EN143" s="25"/>
      <c r="EO143" s="25"/>
      <c r="EP143" s="25"/>
      <c r="EQ143" s="25"/>
      <c r="ER143" s="25"/>
      <c r="ES143" s="25"/>
      <c r="ET143" s="25"/>
      <c r="EU143" s="25"/>
      <c r="EV143" s="25"/>
      <c r="EW143" s="25"/>
      <c r="EX143" s="25"/>
      <c r="EY143" s="25"/>
      <c r="EZ143" s="25"/>
      <c r="FA143" s="25"/>
      <c r="FB143" s="25"/>
      <c r="FC143" s="25"/>
      <c r="FD143" s="25"/>
      <c r="FE143" s="25"/>
      <c r="FF143" s="25"/>
      <c r="FG143" s="25"/>
      <c r="FH143" s="25"/>
      <c r="FI143" s="25"/>
      <c r="FJ143" s="25"/>
      <c r="FK143" s="25"/>
      <c r="FL143" s="25"/>
      <c r="FM143" s="25"/>
      <c r="FN143" s="25"/>
      <c r="FO143" s="25"/>
      <c r="FP143" s="25"/>
      <c r="FQ143" s="25"/>
      <c r="FR143" s="25"/>
      <c r="FS143" s="25"/>
      <c r="FT143" s="25"/>
      <c r="FU143" s="25"/>
      <c r="FV143" s="25"/>
      <c r="FW143" s="25"/>
      <c r="FX143" s="25"/>
      <c r="FY143" s="25"/>
      <c r="FZ143" s="25"/>
      <c r="GA143" s="25"/>
      <c r="GB143" s="25"/>
      <c r="GC143" s="25"/>
      <c r="GD143" s="25"/>
      <c r="GE143" s="25"/>
      <c r="GF143" s="25"/>
      <c r="GG143" s="25"/>
    </row>
    <row r="144" spans="1:189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/>
      <c r="DC144" s="25"/>
      <c r="DD144" s="25"/>
      <c r="DE144" s="25"/>
      <c r="DF144" s="25"/>
      <c r="DG144" s="25"/>
      <c r="DH144" s="25"/>
      <c r="DI144" s="25"/>
      <c r="DJ144" s="25"/>
      <c r="DK144" s="25"/>
      <c r="DL144" s="25"/>
      <c r="DM144" s="25"/>
      <c r="DN144" s="25"/>
      <c r="DO144" s="25"/>
      <c r="DP144" s="25"/>
      <c r="DQ144" s="25"/>
      <c r="DR144" s="25"/>
      <c r="DS144" s="25"/>
      <c r="DT144" s="25"/>
      <c r="DU144" s="25"/>
      <c r="DV144" s="25"/>
      <c r="DW144" s="25"/>
      <c r="DX144" s="25"/>
      <c r="DY144" s="25"/>
      <c r="DZ144" s="25"/>
      <c r="EA144" s="25"/>
      <c r="EB144" s="25"/>
      <c r="EC144" s="25"/>
      <c r="ED144" s="25"/>
      <c r="EE144" s="25"/>
      <c r="EF144" s="25"/>
      <c r="EG144" s="25"/>
      <c r="EH144" s="25"/>
      <c r="EI144" s="25"/>
      <c r="EJ144" s="25"/>
      <c r="EK144" s="25"/>
      <c r="EL144" s="25"/>
      <c r="EM144" s="25"/>
      <c r="EN144" s="25"/>
      <c r="EO144" s="25"/>
      <c r="EP144" s="25"/>
      <c r="EQ144" s="25"/>
      <c r="ER144" s="25"/>
      <c r="ES144" s="25"/>
      <c r="ET144" s="25"/>
      <c r="EU144" s="25"/>
      <c r="EV144" s="25"/>
      <c r="EW144" s="25"/>
      <c r="EX144" s="25"/>
      <c r="EY144" s="25"/>
      <c r="EZ144" s="25"/>
      <c r="FA144" s="25"/>
      <c r="FB144" s="25"/>
      <c r="FC144" s="25"/>
      <c r="FD144" s="25"/>
      <c r="FE144" s="25"/>
      <c r="FF144" s="25"/>
      <c r="FG144" s="25"/>
      <c r="FH144" s="25"/>
      <c r="FI144" s="25"/>
      <c r="FJ144" s="25"/>
      <c r="FK144" s="25"/>
      <c r="FL144" s="25"/>
      <c r="FM144" s="25"/>
      <c r="FN144" s="25"/>
      <c r="FO144" s="25"/>
      <c r="FP144" s="25"/>
      <c r="FQ144" s="25"/>
      <c r="FR144" s="25"/>
      <c r="FS144" s="25"/>
      <c r="FT144" s="25"/>
      <c r="FU144" s="25"/>
      <c r="FV144" s="25"/>
      <c r="FW144" s="25"/>
      <c r="FX144" s="25"/>
      <c r="FY144" s="25"/>
      <c r="FZ144" s="25"/>
      <c r="GA144" s="25"/>
      <c r="GB144" s="25"/>
      <c r="GC144" s="25"/>
      <c r="GD144" s="25"/>
      <c r="GE144" s="25"/>
      <c r="GF144" s="25"/>
      <c r="GG144" s="25"/>
    </row>
    <row r="145" spans="1:189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/>
      <c r="DC145" s="25"/>
      <c r="DD145" s="25"/>
      <c r="DE145" s="25"/>
      <c r="DF145" s="25"/>
      <c r="DG145" s="25"/>
      <c r="DH145" s="25"/>
      <c r="DI145" s="25"/>
      <c r="DJ145" s="25"/>
      <c r="DK145" s="25"/>
      <c r="DL145" s="25"/>
      <c r="DM145" s="25"/>
      <c r="DN145" s="25"/>
      <c r="DO145" s="25"/>
      <c r="DP145" s="25"/>
      <c r="DQ145" s="25"/>
      <c r="DR145" s="25"/>
      <c r="DS145" s="25"/>
      <c r="DT145" s="25"/>
      <c r="DU145" s="25"/>
      <c r="DV145" s="25"/>
      <c r="DW145" s="25"/>
      <c r="DX145" s="25"/>
      <c r="DY145" s="25"/>
      <c r="DZ145" s="25"/>
      <c r="EA145" s="25"/>
      <c r="EB145" s="25"/>
      <c r="EC145" s="25"/>
      <c r="ED145" s="25"/>
      <c r="EE145" s="25"/>
      <c r="EF145" s="25"/>
      <c r="EG145" s="25"/>
      <c r="EH145" s="25"/>
      <c r="EI145" s="25"/>
      <c r="EJ145" s="25"/>
      <c r="EK145" s="25"/>
      <c r="EL145" s="25"/>
      <c r="EM145" s="25"/>
      <c r="EN145" s="25"/>
      <c r="EO145" s="25"/>
      <c r="EP145" s="25"/>
      <c r="EQ145" s="25"/>
      <c r="ER145" s="25"/>
      <c r="ES145" s="25"/>
      <c r="ET145" s="25"/>
      <c r="EU145" s="25"/>
      <c r="EV145" s="25"/>
      <c r="EW145" s="25"/>
      <c r="EX145" s="25"/>
      <c r="EY145" s="25"/>
      <c r="EZ145" s="25"/>
      <c r="FA145" s="25"/>
      <c r="FB145" s="25"/>
      <c r="FC145" s="25"/>
      <c r="FD145" s="25"/>
      <c r="FE145" s="25"/>
      <c r="FF145" s="25"/>
      <c r="FG145" s="25"/>
      <c r="FH145" s="25"/>
      <c r="FI145" s="25"/>
      <c r="FJ145" s="25"/>
      <c r="FK145" s="25"/>
      <c r="FL145" s="25"/>
      <c r="FM145" s="25"/>
      <c r="FN145" s="25"/>
      <c r="FO145" s="25"/>
      <c r="FP145" s="25"/>
      <c r="FQ145" s="25"/>
      <c r="FR145" s="25"/>
      <c r="FS145" s="25"/>
      <c r="FT145" s="25"/>
      <c r="FU145" s="25"/>
      <c r="FV145" s="25"/>
      <c r="FW145" s="25"/>
      <c r="FX145" s="25"/>
      <c r="FY145" s="25"/>
      <c r="FZ145" s="25"/>
      <c r="GA145" s="25"/>
      <c r="GB145" s="25"/>
      <c r="GC145" s="25"/>
      <c r="GD145" s="25"/>
      <c r="GE145" s="25"/>
      <c r="GF145" s="25"/>
      <c r="GG145" s="25"/>
    </row>
    <row r="146" spans="1:189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25"/>
      <c r="DC146" s="25"/>
      <c r="DD146" s="25"/>
      <c r="DE146" s="25"/>
      <c r="DF146" s="25"/>
      <c r="DG146" s="25"/>
      <c r="DH146" s="25"/>
      <c r="DI146" s="25"/>
      <c r="DJ146" s="25"/>
      <c r="DK146" s="25"/>
      <c r="DL146" s="25"/>
      <c r="DM146" s="25"/>
      <c r="DN146" s="25"/>
      <c r="DO146" s="25"/>
      <c r="DP146" s="25"/>
      <c r="DQ146" s="25"/>
      <c r="DR146" s="25"/>
      <c r="DS146" s="25"/>
      <c r="DT146" s="25"/>
      <c r="DU146" s="25"/>
      <c r="DV146" s="25"/>
      <c r="DW146" s="25"/>
      <c r="DX146" s="25"/>
      <c r="DY146" s="25"/>
      <c r="DZ146" s="25"/>
      <c r="EA146" s="25"/>
      <c r="EB146" s="25"/>
      <c r="EC146" s="25"/>
      <c r="ED146" s="25"/>
      <c r="EE146" s="25"/>
      <c r="EF146" s="25"/>
      <c r="EG146" s="25"/>
      <c r="EH146" s="25"/>
      <c r="EI146" s="25"/>
      <c r="EJ146" s="25"/>
      <c r="EK146" s="25"/>
      <c r="EL146" s="25"/>
      <c r="EM146" s="25"/>
      <c r="EN146" s="25"/>
      <c r="EO146" s="25"/>
      <c r="EP146" s="25"/>
      <c r="EQ146" s="25"/>
      <c r="ER146" s="25"/>
      <c r="ES146" s="25"/>
      <c r="ET146" s="25"/>
      <c r="EU146" s="25"/>
      <c r="EV146" s="25"/>
      <c r="EW146" s="25"/>
      <c r="EX146" s="25"/>
      <c r="EY146" s="25"/>
      <c r="EZ146" s="25"/>
      <c r="FA146" s="25"/>
      <c r="FB146" s="25"/>
      <c r="FC146" s="25"/>
      <c r="FD146" s="25"/>
      <c r="FE146" s="25"/>
      <c r="FF146" s="25"/>
      <c r="FG146" s="25"/>
      <c r="FH146" s="25"/>
      <c r="FI146" s="25"/>
      <c r="FJ146" s="25"/>
      <c r="FK146" s="25"/>
      <c r="FL146" s="25"/>
      <c r="FM146" s="25"/>
      <c r="FN146" s="25"/>
      <c r="FO146" s="25"/>
      <c r="FP146" s="25"/>
      <c r="FQ146" s="25"/>
      <c r="FR146" s="25"/>
      <c r="FS146" s="25"/>
      <c r="FT146" s="25"/>
      <c r="FU146" s="25"/>
      <c r="FV146" s="25"/>
      <c r="FW146" s="25"/>
      <c r="FX146" s="25"/>
      <c r="FY146" s="25"/>
      <c r="FZ146" s="25"/>
      <c r="GA146" s="25"/>
      <c r="GB146" s="25"/>
      <c r="GC146" s="25"/>
      <c r="GD146" s="25"/>
      <c r="GE146" s="25"/>
      <c r="GF146" s="25"/>
      <c r="GG146" s="25"/>
    </row>
    <row r="147" spans="1:189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25"/>
      <c r="DC147" s="25"/>
      <c r="DD147" s="25"/>
      <c r="DE147" s="25"/>
      <c r="DF147" s="25"/>
      <c r="DG147" s="25"/>
      <c r="DH147" s="25"/>
      <c r="DI147" s="25"/>
      <c r="DJ147" s="25"/>
      <c r="DK147" s="25"/>
      <c r="DL147" s="25"/>
      <c r="DM147" s="25"/>
      <c r="DN147" s="25"/>
      <c r="DO147" s="25"/>
      <c r="DP147" s="25"/>
      <c r="DQ147" s="25"/>
      <c r="DR147" s="25"/>
      <c r="DS147" s="25"/>
      <c r="DT147" s="25"/>
      <c r="DU147" s="25"/>
      <c r="DV147" s="25"/>
      <c r="DW147" s="25"/>
      <c r="DX147" s="25"/>
      <c r="DY147" s="25"/>
      <c r="DZ147" s="25"/>
      <c r="EA147" s="25"/>
      <c r="EB147" s="25"/>
      <c r="EC147" s="25"/>
      <c r="ED147" s="25"/>
      <c r="EE147" s="25"/>
      <c r="EF147" s="25"/>
      <c r="EG147" s="25"/>
      <c r="EH147" s="25"/>
      <c r="EI147" s="25"/>
      <c r="EJ147" s="25"/>
      <c r="EK147" s="25"/>
      <c r="EL147" s="25"/>
      <c r="EM147" s="25"/>
      <c r="EN147" s="25"/>
      <c r="EO147" s="25"/>
      <c r="EP147" s="25"/>
      <c r="EQ147" s="25"/>
      <c r="ER147" s="25"/>
      <c r="ES147" s="25"/>
      <c r="ET147" s="25"/>
      <c r="EU147" s="25"/>
      <c r="EV147" s="25"/>
      <c r="EW147" s="25"/>
      <c r="EX147" s="25"/>
      <c r="EY147" s="25"/>
      <c r="EZ147" s="25"/>
      <c r="FA147" s="25"/>
      <c r="FB147" s="25"/>
      <c r="FC147" s="25"/>
      <c r="FD147" s="25"/>
      <c r="FE147" s="25"/>
      <c r="FF147" s="25"/>
      <c r="FG147" s="25"/>
      <c r="FH147" s="25"/>
      <c r="FI147" s="25"/>
      <c r="FJ147" s="25"/>
      <c r="FK147" s="25"/>
      <c r="FL147" s="25"/>
      <c r="FM147" s="25"/>
      <c r="FN147" s="25"/>
      <c r="FO147" s="25"/>
      <c r="FP147" s="25"/>
      <c r="FQ147" s="25"/>
      <c r="FR147" s="25"/>
      <c r="FS147" s="25"/>
      <c r="FT147" s="25"/>
      <c r="FU147" s="25"/>
      <c r="FV147" s="25"/>
      <c r="FW147" s="25"/>
      <c r="FX147" s="25"/>
      <c r="FY147" s="25"/>
      <c r="FZ147" s="25"/>
      <c r="GA147" s="25"/>
      <c r="GB147" s="25"/>
      <c r="GC147" s="25"/>
      <c r="GD147" s="25"/>
      <c r="GE147" s="25"/>
      <c r="GF147" s="25"/>
      <c r="GG147" s="25"/>
    </row>
    <row r="148" spans="1:189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  <c r="DA148" s="25"/>
      <c r="DB148" s="25"/>
      <c r="DC148" s="25"/>
      <c r="DD148" s="25"/>
      <c r="DE148" s="25"/>
      <c r="DF148" s="25"/>
      <c r="DG148" s="25"/>
      <c r="DH148" s="25"/>
      <c r="DI148" s="25"/>
      <c r="DJ148" s="25"/>
      <c r="DK148" s="25"/>
      <c r="DL148" s="25"/>
      <c r="DM148" s="25"/>
      <c r="DN148" s="25"/>
      <c r="DO148" s="25"/>
      <c r="DP148" s="25"/>
      <c r="DQ148" s="25"/>
      <c r="DR148" s="25"/>
      <c r="DS148" s="25"/>
      <c r="DT148" s="25"/>
      <c r="DU148" s="25"/>
      <c r="DV148" s="25"/>
      <c r="DW148" s="25"/>
      <c r="DX148" s="25"/>
      <c r="DY148" s="25"/>
      <c r="DZ148" s="25"/>
      <c r="EA148" s="25"/>
      <c r="EB148" s="25"/>
      <c r="EC148" s="25"/>
      <c r="ED148" s="25"/>
      <c r="EE148" s="25"/>
      <c r="EF148" s="25"/>
      <c r="EG148" s="25"/>
      <c r="EH148" s="25"/>
      <c r="EI148" s="25"/>
      <c r="EJ148" s="25"/>
      <c r="EK148" s="25"/>
      <c r="EL148" s="25"/>
      <c r="EM148" s="25"/>
      <c r="EN148" s="25"/>
      <c r="EO148" s="25"/>
      <c r="EP148" s="25"/>
      <c r="EQ148" s="25"/>
      <c r="ER148" s="25"/>
      <c r="ES148" s="25"/>
      <c r="ET148" s="25"/>
      <c r="EU148" s="25"/>
      <c r="EV148" s="25"/>
      <c r="EW148" s="25"/>
      <c r="EX148" s="25"/>
      <c r="EY148" s="25"/>
      <c r="EZ148" s="25"/>
      <c r="FA148" s="25"/>
      <c r="FB148" s="25"/>
      <c r="FC148" s="25"/>
      <c r="FD148" s="25"/>
      <c r="FE148" s="25"/>
      <c r="FF148" s="25"/>
      <c r="FG148" s="25"/>
      <c r="FH148" s="25"/>
      <c r="FI148" s="25"/>
      <c r="FJ148" s="25"/>
      <c r="FK148" s="25"/>
      <c r="FL148" s="25"/>
      <c r="FM148" s="25"/>
      <c r="FN148" s="25"/>
      <c r="FO148" s="25"/>
      <c r="FP148" s="25"/>
      <c r="FQ148" s="25"/>
      <c r="FR148" s="25"/>
      <c r="FS148" s="25"/>
      <c r="FT148" s="25"/>
      <c r="FU148" s="25"/>
      <c r="FV148" s="25"/>
      <c r="FW148" s="25"/>
      <c r="FX148" s="25"/>
      <c r="FY148" s="25"/>
      <c r="FZ148" s="25"/>
      <c r="GA148" s="25"/>
      <c r="GB148" s="25"/>
      <c r="GC148" s="25"/>
      <c r="GD148" s="25"/>
      <c r="GE148" s="25"/>
      <c r="GF148" s="25"/>
      <c r="GG148" s="25"/>
    </row>
    <row r="149" spans="1:189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/>
      <c r="DU149" s="25"/>
      <c r="DV149" s="25"/>
      <c r="DW149" s="25"/>
      <c r="DX149" s="25"/>
      <c r="DY149" s="25"/>
      <c r="DZ149" s="25"/>
      <c r="EA149" s="25"/>
      <c r="EB149" s="25"/>
      <c r="EC149" s="25"/>
      <c r="ED149" s="25"/>
      <c r="EE149" s="25"/>
      <c r="EF149" s="25"/>
      <c r="EG149" s="25"/>
      <c r="EH149" s="25"/>
      <c r="EI149" s="25"/>
      <c r="EJ149" s="25"/>
      <c r="EK149" s="25"/>
      <c r="EL149" s="25"/>
      <c r="EM149" s="25"/>
      <c r="EN149" s="25"/>
      <c r="EO149" s="25"/>
      <c r="EP149" s="25"/>
      <c r="EQ149" s="25"/>
      <c r="ER149" s="25"/>
      <c r="ES149" s="25"/>
      <c r="ET149" s="25"/>
      <c r="EU149" s="25"/>
      <c r="EV149" s="25"/>
      <c r="EW149" s="25"/>
      <c r="EX149" s="25"/>
      <c r="EY149" s="25"/>
      <c r="EZ149" s="25"/>
      <c r="FA149" s="25"/>
      <c r="FB149" s="25"/>
      <c r="FC149" s="25"/>
      <c r="FD149" s="25"/>
      <c r="FE149" s="25"/>
      <c r="FF149" s="25"/>
      <c r="FG149" s="25"/>
      <c r="FH149" s="25"/>
      <c r="FI149" s="25"/>
      <c r="FJ149" s="25"/>
      <c r="FK149" s="25"/>
      <c r="FL149" s="25"/>
      <c r="FM149" s="25"/>
      <c r="FN149" s="25"/>
      <c r="FO149" s="25"/>
      <c r="FP149" s="25"/>
      <c r="FQ149" s="25"/>
      <c r="FR149" s="25"/>
      <c r="FS149" s="25"/>
      <c r="FT149" s="25"/>
      <c r="FU149" s="25"/>
      <c r="FV149" s="25"/>
      <c r="FW149" s="25"/>
      <c r="FX149" s="25"/>
      <c r="FY149" s="25"/>
      <c r="FZ149" s="25"/>
      <c r="GA149" s="25"/>
      <c r="GB149" s="25"/>
      <c r="GC149" s="25"/>
      <c r="GD149" s="25"/>
      <c r="GE149" s="25"/>
      <c r="GF149" s="25"/>
      <c r="GG149" s="25"/>
    </row>
    <row r="150" spans="1:189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/>
      <c r="DB150" s="25"/>
      <c r="DC150" s="25"/>
      <c r="DD150" s="25"/>
      <c r="DE150" s="25"/>
      <c r="DF150" s="25"/>
      <c r="DG150" s="25"/>
      <c r="DH150" s="25"/>
      <c r="DI150" s="25"/>
      <c r="DJ150" s="25"/>
      <c r="DK150" s="25"/>
      <c r="DL150" s="25"/>
      <c r="DM150" s="25"/>
      <c r="DN150" s="25"/>
      <c r="DO150" s="25"/>
      <c r="DP150" s="25"/>
      <c r="DQ150" s="25"/>
      <c r="DR150" s="25"/>
      <c r="DS150" s="25"/>
      <c r="DT150" s="25"/>
      <c r="DU150" s="25"/>
      <c r="DV150" s="25"/>
      <c r="DW150" s="25"/>
      <c r="DX150" s="25"/>
      <c r="DY150" s="25"/>
      <c r="DZ150" s="25"/>
      <c r="EA150" s="25"/>
      <c r="EB150" s="25"/>
      <c r="EC150" s="25"/>
      <c r="ED150" s="25"/>
      <c r="EE150" s="25"/>
      <c r="EF150" s="25"/>
      <c r="EG150" s="25"/>
      <c r="EH150" s="25"/>
      <c r="EI150" s="25"/>
      <c r="EJ150" s="25"/>
      <c r="EK150" s="25"/>
      <c r="EL150" s="25"/>
      <c r="EM150" s="25"/>
      <c r="EN150" s="25"/>
      <c r="EO150" s="25"/>
      <c r="EP150" s="25"/>
      <c r="EQ150" s="25"/>
      <c r="ER150" s="25"/>
      <c r="ES150" s="25"/>
      <c r="ET150" s="25"/>
      <c r="EU150" s="25"/>
      <c r="EV150" s="25"/>
      <c r="EW150" s="25"/>
      <c r="EX150" s="25"/>
      <c r="EY150" s="25"/>
      <c r="EZ150" s="25"/>
      <c r="FA150" s="25"/>
      <c r="FB150" s="25"/>
      <c r="FC150" s="25"/>
      <c r="FD150" s="25"/>
      <c r="FE150" s="25"/>
      <c r="FF150" s="25"/>
      <c r="FG150" s="25"/>
      <c r="FH150" s="25"/>
      <c r="FI150" s="25"/>
      <c r="FJ150" s="25"/>
      <c r="FK150" s="25"/>
      <c r="FL150" s="25"/>
      <c r="FM150" s="25"/>
      <c r="FN150" s="25"/>
      <c r="FO150" s="25"/>
      <c r="FP150" s="25"/>
      <c r="FQ150" s="25"/>
      <c r="FR150" s="25"/>
      <c r="FS150" s="25"/>
      <c r="FT150" s="25"/>
      <c r="FU150" s="25"/>
      <c r="FV150" s="25"/>
      <c r="FW150" s="25"/>
      <c r="FX150" s="25"/>
      <c r="FY150" s="25"/>
      <c r="FZ150" s="25"/>
      <c r="GA150" s="25"/>
      <c r="GB150" s="25"/>
      <c r="GC150" s="25"/>
      <c r="GD150" s="25"/>
      <c r="GE150" s="25"/>
      <c r="GF150" s="25"/>
      <c r="GG150" s="25"/>
    </row>
    <row r="151" spans="1:189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  <c r="DA151" s="25"/>
      <c r="DB151" s="25"/>
      <c r="DC151" s="25"/>
      <c r="DD151" s="25"/>
      <c r="DE151" s="25"/>
      <c r="DF151" s="25"/>
      <c r="DG151" s="25"/>
      <c r="DH151" s="25"/>
      <c r="DI151" s="25"/>
      <c r="DJ151" s="25"/>
      <c r="DK151" s="25"/>
      <c r="DL151" s="25"/>
      <c r="DM151" s="25"/>
      <c r="DN151" s="25"/>
      <c r="DO151" s="25"/>
      <c r="DP151" s="25"/>
      <c r="DQ151" s="25"/>
      <c r="DR151" s="25"/>
      <c r="DS151" s="25"/>
      <c r="DT151" s="25"/>
      <c r="DU151" s="25"/>
      <c r="DV151" s="25"/>
      <c r="DW151" s="25"/>
      <c r="DX151" s="25"/>
      <c r="DY151" s="25"/>
      <c r="DZ151" s="25"/>
      <c r="EA151" s="25"/>
      <c r="EB151" s="25"/>
      <c r="EC151" s="25"/>
      <c r="ED151" s="25"/>
      <c r="EE151" s="25"/>
      <c r="EF151" s="25"/>
      <c r="EG151" s="25"/>
      <c r="EH151" s="25"/>
      <c r="EI151" s="25"/>
      <c r="EJ151" s="25"/>
      <c r="EK151" s="25"/>
      <c r="EL151" s="25"/>
      <c r="EM151" s="25"/>
      <c r="EN151" s="25"/>
      <c r="EO151" s="25"/>
      <c r="EP151" s="25"/>
      <c r="EQ151" s="25"/>
      <c r="ER151" s="25"/>
      <c r="ES151" s="25"/>
      <c r="ET151" s="25"/>
      <c r="EU151" s="25"/>
      <c r="EV151" s="25"/>
      <c r="EW151" s="25"/>
      <c r="EX151" s="25"/>
      <c r="EY151" s="25"/>
      <c r="EZ151" s="25"/>
      <c r="FA151" s="25"/>
      <c r="FB151" s="25"/>
      <c r="FC151" s="25"/>
      <c r="FD151" s="25"/>
      <c r="FE151" s="25"/>
      <c r="FF151" s="25"/>
      <c r="FG151" s="25"/>
      <c r="FH151" s="25"/>
      <c r="FI151" s="25"/>
      <c r="FJ151" s="25"/>
      <c r="FK151" s="25"/>
      <c r="FL151" s="25"/>
      <c r="FM151" s="25"/>
      <c r="FN151" s="25"/>
      <c r="FO151" s="25"/>
      <c r="FP151" s="25"/>
      <c r="FQ151" s="25"/>
      <c r="FR151" s="25"/>
      <c r="FS151" s="25"/>
      <c r="FT151" s="25"/>
      <c r="FU151" s="25"/>
      <c r="FV151" s="25"/>
      <c r="FW151" s="25"/>
      <c r="FX151" s="25"/>
      <c r="FY151" s="25"/>
      <c r="FZ151" s="25"/>
      <c r="GA151" s="25"/>
      <c r="GB151" s="25"/>
      <c r="GC151" s="25"/>
      <c r="GD151" s="25"/>
      <c r="GE151" s="25"/>
      <c r="GF151" s="25"/>
      <c r="GG151" s="25"/>
    </row>
    <row r="152" spans="1:189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/>
      <c r="DD152" s="25"/>
      <c r="DE152" s="25"/>
      <c r="DF152" s="25"/>
      <c r="DG152" s="25"/>
      <c r="DH152" s="25"/>
      <c r="DI152" s="25"/>
      <c r="DJ152" s="25"/>
      <c r="DK152" s="25"/>
      <c r="DL152" s="25"/>
      <c r="DM152" s="25"/>
      <c r="DN152" s="25"/>
      <c r="DO152" s="25"/>
      <c r="DP152" s="25"/>
      <c r="DQ152" s="25"/>
      <c r="DR152" s="25"/>
      <c r="DS152" s="25"/>
      <c r="DT152" s="25"/>
      <c r="DU152" s="25"/>
      <c r="DV152" s="25"/>
      <c r="DW152" s="25"/>
      <c r="DX152" s="25"/>
      <c r="DY152" s="25"/>
      <c r="DZ152" s="25"/>
      <c r="EA152" s="25"/>
      <c r="EB152" s="25"/>
      <c r="EC152" s="25"/>
      <c r="ED152" s="25"/>
      <c r="EE152" s="25"/>
      <c r="EF152" s="25"/>
      <c r="EG152" s="25"/>
      <c r="EH152" s="25"/>
      <c r="EI152" s="25"/>
      <c r="EJ152" s="25"/>
      <c r="EK152" s="25"/>
      <c r="EL152" s="25"/>
      <c r="EM152" s="25"/>
      <c r="EN152" s="25"/>
      <c r="EO152" s="25"/>
      <c r="EP152" s="25"/>
      <c r="EQ152" s="25"/>
      <c r="ER152" s="25"/>
      <c r="ES152" s="25"/>
      <c r="ET152" s="25"/>
      <c r="EU152" s="25"/>
      <c r="EV152" s="25"/>
      <c r="EW152" s="25"/>
      <c r="EX152" s="25"/>
      <c r="EY152" s="25"/>
      <c r="EZ152" s="25"/>
      <c r="FA152" s="25"/>
      <c r="FB152" s="25"/>
      <c r="FC152" s="25"/>
      <c r="FD152" s="25"/>
      <c r="FE152" s="25"/>
      <c r="FF152" s="25"/>
      <c r="FG152" s="25"/>
      <c r="FH152" s="25"/>
      <c r="FI152" s="25"/>
      <c r="FJ152" s="25"/>
      <c r="FK152" s="25"/>
      <c r="FL152" s="25"/>
      <c r="FM152" s="25"/>
      <c r="FN152" s="25"/>
      <c r="FO152" s="25"/>
      <c r="FP152" s="25"/>
      <c r="FQ152" s="25"/>
      <c r="FR152" s="25"/>
      <c r="FS152" s="25"/>
      <c r="FT152" s="25"/>
      <c r="FU152" s="25"/>
      <c r="FV152" s="25"/>
      <c r="FW152" s="25"/>
      <c r="FX152" s="25"/>
      <c r="FY152" s="25"/>
      <c r="FZ152" s="25"/>
      <c r="GA152" s="25"/>
      <c r="GB152" s="25"/>
      <c r="GC152" s="25"/>
      <c r="GD152" s="25"/>
      <c r="GE152" s="25"/>
      <c r="GF152" s="25"/>
      <c r="GG152" s="25"/>
    </row>
    <row r="153" spans="1:189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  <c r="DA153" s="25"/>
      <c r="DB153" s="25"/>
      <c r="DC153" s="25"/>
      <c r="DD153" s="25"/>
      <c r="DE153" s="25"/>
      <c r="DF153" s="25"/>
      <c r="DG153" s="25"/>
      <c r="DH153" s="25"/>
      <c r="DI153" s="25"/>
      <c r="DJ153" s="25"/>
      <c r="DK153" s="25"/>
      <c r="DL153" s="25"/>
      <c r="DM153" s="25"/>
      <c r="DN153" s="25"/>
      <c r="DO153" s="25"/>
      <c r="DP153" s="25"/>
      <c r="DQ153" s="25"/>
      <c r="DR153" s="25"/>
      <c r="DS153" s="25"/>
      <c r="DT153" s="25"/>
      <c r="DU153" s="25"/>
      <c r="DV153" s="25"/>
      <c r="DW153" s="25"/>
      <c r="DX153" s="25"/>
      <c r="DY153" s="25"/>
      <c r="DZ153" s="25"/>
      <c r="EA153" s="25"/>
      <c r="EB153" s="25"/>
      <c r="EC153" s="25"/>
      <c r="ED153" s="25"/>
      <c r="EE153" s="25"/>
      <c r="EF153" s="25"/>
      <c r="EG153" s="25"/>
      <c r="EH153" s="25"/>
      <c r="EI153" s="25"/>
      <c r="EJ153" s="25"/>
      <c r="EK153" s="25"/>
      <c r="EL153" s="25"/>
      <c r="EM153" s="25"/>
      <c r="EN153" s="25"/>
      <c r="EO153" s="25"/>
      <c r="EP153" s="25"/>
      <c r="EQ153" s="25"/>
      <c r="ER153" s="25"/>
      <c r="ES153" s="25"/>
      <c r="ET153" s="25"/>
      <c r="EU153" s="25"/>
      <c r="EV153" s="25"/>
      <c r="EW153" s="25"/>
      <c r="EX153" s="25"/>
      <c r="EY153" s="25"/>
      <c r="EZ153" s="25"/>
      <c r="FA153" s="25"/>
      <c r="FB153" s="25"/>
      <c r="FC153" s="25"/>
      <c r="FD153" s="25"/>
      <c r="FE153" s="25"/>
      <c r="FF153" s="25"/>
      <c r="FG153" s="25"/>
      <c r="FH153" s="25"/>
      <c r="FI153" s="25"/>
      <c r="FJ153" s="25"/>
      <c r="FK153" s="25"/>
      <c r="FL153" s="25"/>
      <c r="FM153" s="25"/>
      <c r="FN153" s="25"/>
      <c r="FO153" s="25"/>
      <c r="FP153" s="25"/>
      <c r="FQ153" s="25"/>
      <c r="FR153" s="25"/>
      <c r="FS153" s="25"/>
      <c r="FT153" s="25"/>
      <c r="FU153" s="25"/>
      <c r="FV153" s="25"/>
      <c r="FW153" s="25"/>
      <c r="FX153" s="25"/>
      <c r="FY153" s="25"/>
      <c r="FZ153" s="25"/>
      <c r="GA153" s="25"/>
      <c r="GB153" s="25"/>
      <c r="GC153" s="25"/>
      <c r="GD153" s="25"/>
      <c r="GE153" s="25"/>
      <c r="GF153" s="25"/>
      <c r="GG153" s="25"/>
    </row>
    <row r="154" spans="1:189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/>
      <c r="DB154" s="25"/>
      <c r="DC154" s="25"/>
      <c r="DD154" s="25"/>
      <c r="DE154" s="25"/>
      <c r="DF154" s="25"/>
      <c r="DG154" s="25"/>
      <c r="DH154" s="25"/>
      <c r="DI154" s="25"/>
      <c r="DJ154" s="25"/>
      <c r="DK154" s="25"/>
      <c r="DL154" s="25"/>
      <c r="DM154" s="25"/>
      <c r="DN154" s="25"/>
      <c r="DO154" s="25"/>
      <c r="DP154" s="25"/>
      <c r="DQ154" s="25"/>
      <c r="DR154" s="25"/>
      <c r="DS154" s="25"/>
      <c r="DT154" s="25"/>
      <c r="DU154" s="25"/>
      <c r="DV154" s="25"/>
      <c r="DW154" s="25"/>
      <c r="DX154" s="25"/>
      <c r="DY154" s="25"/>
      <c r="DZ154" s="25"/>
      <c r="EA154" s="25"/>
      <c r="EB154" s="25"/>
      <c r="EC154" s="25"/>
      <c r="ED154" s="25"/>
      <c r="EE154" s="25"/>
      <c r="EF154" s="25"/>
      <c r="EG154" s="25"/>
      <c r="EH154" s="25"/>
      <c r="EI154" s="25"/>
      <c r="EJ154" s="25"/>
      <c r="EK154" s="25"/>
      <c r="EL154" s="25"/>
      <c r="EM154" s="25"/>
      <c r="EN154" s="25"/>
      <c r="EO154" s="25"/>
      <c r="EP154" s="25"/>
      <c r="EQ154" s="25"/>
      <c r="ER154" s="25"/>
      <c r="ES154" s="25"/>
      <c r="ET154" s="25"/>
      <c r="EU154" s="25"/>
      <c r="EV154" s="25"/>
      <c r="EW154" s="25"/>
      <c r="EX154" s="25"/>
      <c r="EY154" s="25"/>
      <c r="EZ154" s="25"/>
      <c r="FA154" s="25"/>
      <c r="FB154" s="25"/>
      <c r="FC154" s="25"/>
      <c r="FD154" s="25"/>
      <c r="FE154" s="25"/>
      <c r="FF154" s="25"/>
      <c r="FG154" s="25"/>
      <c r="FH154" s="25"/>
      <c r="FI154" s="25"/>
      <c r="FJ154" s="25"/>
      <c r="FK154" s="25"/>
      <c r="FL154" s="25"/>
      <c r="FM154" s="25"/>
      <c r="FN154" s="25"/>
      <c r="FO154" s="25"/>
      <c r="FP154" s="25"/>
      <c r="FQ154" s="25"/>
      <c r="FR154" s="25"/>
      <c r="FS154" s="25"/>
      <c r="FT154" s="25"/>
      <c r="FU154" s="25"/>
      <c r="FV154" s="25"/>
      <c r="FW154" s="25"/>
      <c r="FX154" s="25"/>
      <c r="FY154" s="25"/>
      <c r="FZ154" s="25"/>
      <c r="GA154" s="25"/>
      <c r="GB154" s="25"/>
      <c r="GC154" s="25"/>
      <c r="GD154" s="25"/>
      <c r="GE154" s="25"/>
      <c r="GF154" s="25"/>
      <c r="GG154" s="25"/>
    </row>
    <row r="155" spans="1:189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  <c r="CZ155" s="25"/>
      <c r="DA155" s="25"/>
      <c r="DB155" s="25"/>
      <c r="DC155" s="25"/>
      <c r="DD155" s="25"/>
      <c r="DE155" s="25"/>
      <c r="DF155" s="25"/>
      <c r="DG155" s="25"/>
      <c r="DH155" s="25"/>
      <c r="DI155" s="25"/>
      <c r="DJ155" s="25"/>
      <c r="DK155" s="25"/>
      <c r="DL155" s="25"/>
      <c r="DM155" s="25"/>
      <c r="DN155" s="25"/>
      <c r="DO155" s="25"/>
      <c r="DP155" s="25"/>
      <c r="DQ155" s="25"/>
      <c r="DR155" s="25"/>
      <c r="DS155" s="25"/>
      <c r="DT155" s="25"/>
      <c r="DU155" s="25"/>
      <c r="DV155" s="25"/>
      <c r="DW155" s="25"/>
      <c r="DX155" s="25"/>
      <c r="DY155" s="25"/>
      <c r="DZ155" s="25"/>
      <c r="EA155" s="25"/>
      <c r="EB155" s="25"/>
      <c r="EC155" s="25"/>
      <c r="ED155" s="25"/>
      <c r="EE155" s="25"/>
      <c r="EF155" s="25"/>
      <c r="EG155" s="25"/>
      <c r="EH155" s="25"/>
      <c r="EI155" s="25"/>
      <c r="EJ155" s="25"/>
      <c r="EK155" s="25"/>
      <c r="EL155" s="25"/>
      <c r="EM155" s="25"/>
      <c r="EN155" s="25"/>
      <c r="EO155" s="25"/>
      <c r="EP155" s="25"/>
      <c r="EQ155" s="25"/>
      <c r="ER155" s="25"/>
      <c r="ES155" s="25"/>
      <c r="ET155" s="25"/>
      <c r="EU155" s="25"/>
      <c r="EV155" s="25"/>
      <c r="EW155" s="25"/>
      <c r="EX155" s="25"/>
      <c r="EY155" s="25"/>
      <c r="EZ155" s="25"/>
      <c r="FA155" s="25"/>
      <c r="FB155" s="25"/>
      <c r="FC155" s="25"/>
      <c r="FD155" s="25"/>
      <c r="FE155" s="25"/>
      <c r="FF155" s="25"/>
      <c r="FG155" s="25"/>
      <c r="FH155" s="25"/>
      <c r="FI155" s="25"/>
      <c r="FJ155" s="25"/>
      <c r="FK155" s="25"/>
      <c r="FL155" s="25"/>
      <c r="FM155" s="25"/>
      <c r="FN155" s="25"/>
      <c r="FO155" s="25"/>
      <c r="FP155" s="25"/>
      <c r="FQ155" s="25"/>
      <c r="FR155" s="25"/>
      <c r="FS155" s="25"/>
      <c r="FT155" s="25"/>
      <c r="FU155" s="25"/>
      <c r="FV155" s="25"/>
      <c r="FW155" s="25"/>
      <c r="FX155" s="25"/>
      <c r="FY155" s="25"/>
      <c r="FZ155" s="25"/>
      <c r="GA155" s="25"/>
      <c r="GB155" s="25"/>
      <c r="GC155" s="25"/>
      <c r="GD155" s="25"/>
      <c r="GE155" s="25"/>
      <c r="GF155" s="25"/>
      <c r="GG155" s="25"/>
    </row>
    <row r="156" spans="1:189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Y156" s="25"/>
      <c r="CZ156" s="25"/>
      <c r="DA156" s="25"/>
      <c r="DB156" s="25"/>
      <c r="DC156" s="25"/>
      <c r="DD156" s="25"/>
      <c r="DE156" s="25"/>
      <c r="DF156" s="25"/>
      <c r="DG156" s="25"/>
      <c r="DH156" s="25"/>
      <c r="DI156" s="25"/>
      <c r="DJ156" s="25"/>
      <c r="DK156" s="25"/>
      <c r="DL156" s="25"/>
      <c r="DM156" s="25"/>
      <c r="DN156" s="25"/>
      <c r="DO156" s="25"/>
      <c r="DP156" s="25"/>
      <c r="DQ156" s="25"/>
      <c r="DR156" s="25"/>
      <c r="DS156" s="25"/>
      <c r="DT156" s="25"/>
      <c r="DU156" s="25"/>
      <c r="DV156" s="25"/>
      <c r="DW156" s="25"/>
      <c r="DX156" s="25"/>
      <c r="DY156" s="25"/>
      <c r="DZ156" s="25"/>
      <c r="EA156" s="25"/>
      <c r="EB156" s="25"/>
      <c r="EC156" s="25"/>
      <c r="ED156" s="25"/>
      <c r="EE156" s="25"/>
      <c r="EF156" s="25"/>
      <c r="EG156" s="25"/>
      <c r="EH156" s="25"/>
      <c r="EI156" s="25"/>
      <c r="EJ156" s="25"/>
      <c r="EK156" s="25"/>
      <c r="EL156" s="25"/>
      <c r="EM156" s="25"/>
      <c r="EN156" s="25"/>
      <c r="EO156" s="25"/>
      <c r="EP156" s="25"/>
      <c r="EQ156" s="25"/>
      <c r="ER156" s="25"/>
      <c r="ES156" s="25"/>
      <c r="ET156" s="25"/>
      <c r="EU156" s="25"/>
      <c r="EV156" s="25"/>
      <c r="EW156" s="25"/>
      <c r="EX156" s="25"/>
      <c r="EY156" s="25"/>
      <c r="EZ156" s="25"/>
      <c r="FA156" s="25"/>
      <c r="FB156" s="25"/>
      <c r="FC156" s="25"/>
      <c r="FD156" s="25"/>
      <c r="FE156" s="25"/>
      <c r="FF156" s="25"/>
      <c r="FG156" s="25"/>
      <c r="FH156" s="25"/>
      <c r="FI156" s="25"/>
      <c r="FJ156" s="25"/>
      <c r="FK156" s="25"/>
      <c r="FL156" s="25"/>
      <c r="FM156" s="25"/>
      <c r="FN156" s="25"/>
      <c r="FO156" s="25"/>
      <c r="FP156" s="25"/>
      <c r="FQ156" s="25"/>
      <c r="FR156" s="25"/>
      <c r="FS156" s="25"/>
      <c r="FT156" s="25"/>
      <c r="FU156" s="25"/>
      <c r="FV156" s="25"/>
      <c r="FW156" s="25"/>
      <c r="FX156" s="25"/>
      <c r="FY156" s="25"/>
      <c r="FZ156" s="25"/>
      <c r="GA156" s="25"/>
      <c r="GB156" s="25"/>
      <c r="GC156" s="25"/>
      <c r="GD156" s="25"/>
      <c r="GE156" s="25"/>
      <c r="GF156" s="25"/>
      <c r="GG156" s="25"/>
    </row>
    <row r="157" spans="1:189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  <c r="DA157" s="25"/>
      <c r="DB157" s="25"/>
      <c r="DC157" s="25"/>
      <c r="DD157" s="25"/>
      <c r="DE157" s="25"/>
      <c r="DF157" s="25"/>
      <c r="DG157" s="25"/>
      <c r="DH157" s="25"/>
      <c r="DI157" s="25"/>
      <c r="DJ157" s="25"/>
      <c r="DK157" s="25"/>
      <c r="DL157" s="25"/>
      <c r="DM157" s="25"/>
      <c r="DN157" s="25"/>
      <c r="DO157" s="25"/>
      <c r="DP157" s="25"/>
      <c r="DQ157" s="25"/>
      <c r="DR157" s="25"/>
      <c r="DS157" s="25"/>
      <c r="DT157" s="25"/>
      <c r="DU157" s="25"/>
      <c r="DV157" s="25"/>
      <c r="DW157" s="25"/>
      <c r="DX157" s="25"/>
      <c r="DY157" s="25"/>
      <c r="DZ157" s="25"/>
      <c r="EA157" s="25"/>
      <c r="EB157" s="25"/>
      <c r="EC157" s="25"/>
      <c r="ED157" s="25"/>
      <c r="EE157" s="25"/>
      <c r="EF157" s="25"/>
      <c r="EG157" s="25"/>
      <c r="EH157" s="25"/>
      <c r="EI157" s="25"/>
      <c r="EJ157" s="25"/>
      <c r="EK157" s="25"/>
      <c r="EL157" s="25"/>
      <c r="EM157" s="25"/>
      <c r="EN157" s="25"/>
      <c r="EO157" s="25"/>
      <c r="EP157" s="25"/>
      <c r="EQ157" s="25"/>
      <c r="ER157" s="25"/>
      <c r="ES157" s="25"/>
      <c r="ET157" s="25"/>
      <c r="EU157" s="25"/>
      <c r="EV157" s="25"/>
      <c r="EW157" s="25"/>
      <c r="EX157" s="25"/>
      <c r="EY157" s="25"/>
      <c r="EZ157" s="25"/>
      <c r="FA157" s="25"/>
      <c r="FB157" s="25"/>
      <c r="FC157" s="25"/>
      <c r="FD157" s="25"/>
      <c r="FE157" s="25"/>
      <c r="FF157" s="25"/>
      <c r="FG157" s="25"/>
      <c r="FH157" s="25"/>
      <c r="FI157" s="25"/>
      <c r="FJ157" s="25"/>
      <c r="FK157" s="25"/>
      <c r="FL157" s="25"/>
      <c r="FM157" s="25"/>
      <c r="FN157" s="25"/>
      <c r="FO157" s="25"/>
      <c r="FP157" s="25"/>
      <c r="FQ157" s="25"/>
      <c r="FR157" s="25"/>
      <c r="FS157" s="25"/>
      <c r="FT157" s="25"/>
      <c r="FU157" s="25"/>
      <c r="FV157" s="25"/>
      <c r="FW157" s="25"/>
      <c r="FX157" s="25"/>
      <c r="FY157" s="25"/>
      <c r="FZ157" s="25"/>
      <c r="GA157" s="25"/>
      <c r="GB157" s="25"/>
      <c r="GC157" s="25"/>
      <c r="GD157" s="25"/>
      <c r="GE157" s="25"/>
      <c r="GF157" s="25"/>
      <c r="GG157" s="25"/>
    </row>
    <row r="158" spans="1:189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  <c r="CZ158" s="25"/>
      <c r="DA158" s="25"/>
      <c r="DB158" s="25"/>
      <c r="DC158" s="25"/>
      <c r="DD158" s="25"/>
      <c r="DE158" s="25"/>
      <c r="DF158" s="25"/>
      <c r="DG158" s="25"/>
      <c r="DH158" s="25"/>
      <c r="DI158" s="25"/>
      <c r="DJ158" s="25"/>
      <c r="DK158" s="25"/>
      <c r="DL158" s="25"/>
      <c r="DM158" s="25"/>
      <c r="DN158" s="25"/>
      <c r="DO158" s="25"/>
      <c r="DP158" s="25"/>
      <c r="DQ158" s="25"/>
      <c r="DR158" s="25"/>
      <c r="DS158" s="25"/>
      <c r="DT158" s="25"/>
      <c r="DU158" s="25"/>
      <c r="DV158" s="25"/>
      <c r="DW158" s="25"/>
      <c r="DX158" s="25"/>
      <c r="DY158" s="25"/>
      <c r="DZ158" s="25"/>
      <c r="EA158" s="25"/>
      <c r="EB158" s="25"/>
      <c r="EC158" s="25"/>
      <c r="ED158" s="25"/>
      <c r="EE158" s="25"/>
      <c r="EF158" s="25"/>
      <c r="EG158" s="25"/>
      <c r="EH158" s="25"/>
      <c r="EI158" s="25"/>
      <c r="EJ158" s="25"/>
      <c r="EK158" s="25"/>
      <c r="EL158" s="25"/>
      <c r="EM158" s="25"/>
      <c r="EN158" s="25"/>
      <c r="EO158" s="25"/>
      <c r="EP158" s="25"/>
      <c r="EQ158" s="25"/>
      <c r="ER158" s="25"/>
      <c r="ES158" s="25"/>
      <c r="ET158" s="25"/>
      <c r="EU158" s="25"/>
      <c r="EV158" s="25"/>
      <c r="EW158" s="25"/>
      <c r="EX158" s="25"/>
      <c r="EY158" s="25"/>
      <c r="EZ158" s="25"/>
      <c r="FA158" s="25"/>
      <c r="FB158" s="25"/>
      <c r="FC158" s="25"/>
      <c r="FD158" s="25"/>
      <c r="FE158" s="25"/>
      <c r="FF158" s="25"/>
      <c r="FG158" s="25"/>
      <c r="FH158" s="25"/>
      <c r="FI158" s="25"/>
      <c r="FJ158" s="25"/>
      <c r="FK158" s="25"/>
      <c r="FL158" s="25"/>
      <c r="FM158" s="25"/>
      <c r="FN158" s="25"/>
      <c r="FO158" s="25"/>
      <c r="FP158" s="25"/>
      <c r="FQ158" s="25"/>
      <c r="FR158" s="25"/>
      <c r="FS158" s="25"/>
      <c r="FT158" s="25"/>
      <c r="FU158" s="25"/>
      <c r="FV158" s="25"/>
      <c r="FW158" s="25"/>
      <c r="FX158" s="25"/>
      <c r="FY158" s="25"/>
      <c r="FZ158" s="25"/>
      <c r="GA158" s="25"/>
      <c r="GB158" s="25"/>
      <c r="GC158" s="25"/>
      <c r="GD158" s="25"/>
      <c r="GE158" s="25"/>
      <c r="GF158" s="25"/>
      <c r="GG158" s="25"/>
    </row>
    <row r="159" spans="1:189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/>
      <c r="DB159" s="25"/>
      <c r="DC159" s="25"/>
      <c r="DD159" s="25"/>
      <c r="DE159" s="25"/>
      <c r="DF159" s="25"/>
      <c r="DG159" s="25"/>
      <c r="DH159" s="25"/>
      <c r="DI159" s="25"/>
      <c r="DJ159" s="25"/>
      <c r="DK159" s="25"/>
      <c r="DL159" s="25"/>
      <c r="DM159" s="25"/>
      <c r="DN159" s="25"/>
      <c r="DO159" s="25"/>
      <c r="DP159" s="25"/>
      <c r="DQ159" s="25"/>
      <c r="DR159" s="25"/>
      <c r="DS159" s="25"/>
      <c r="DT159" s="25"/>
      <c r="DU159" s="25"/>
      <c r="DV159" s="25"/>
      <c r="DW159" s="25"/>
      <c r="DX159" s="25"/>
      <c r="DY159" s="25"/>
      <c r="DZ159" s="25"/>
      <c r="EA159" s="25"/>
      <c r="EB159" s="25"/>
      <c r="EC159" s="25"/>
      <c r="ED159" s="25"/>
      <c r="EE159" s="25"/>
      <c r="EF159" s="25"/>
      <c r="EG159" s="25"/>
      <c r="EH159" s="25"/>
      <c r="EI159" s="25"/>
      <c r="EJ159" s="25"/>
      <c r="EK159" s="25"/>
      <c r="EL159" s="25"/>
      <c r="EM159" s="25"/>
      <c r="EN159" s="25"/>
      <c r="EO159" s="25"/>
      <c r="EP159" s="25"/>
      <c r="EQ159" s="25"/>
      <c r="ER159" s="25"/>
      <c r="ES159" s="25"/>
      <c r="ET159" s="25"/>
      <c r="EU159" s="25"/>
      <c r="EV159" s="25"/>
      <c r="EW159" s="25"/>
      <c r="EX159" s="25"/>
      <c r="EY159" s="25"/>
      <c r="EZ159" s="25"/>
      <c r="FA159" s="25"/>
      <c r="FB159" s="25"/>
      <c r="FC159" s="25"/>
      <c r="FD159" s="25"/>
      <c r="FE159" s="25"/>
      <c r="FF159" s="25"/>
      <c r="FG159" s="25"/>
      <c r="FH159" s="25"/>
      <c r="FI159" s="25"/>
      <c r="FJ159" s="25"/>
      <c r="FK159" s="25"/>
      <c r="FL159" s="25"/>
      <c r="FM159" s="25"/>
      <c r="FN159" s="25"/>
      <c r="FO159" s="25"/>
      <c r="FP159" s="25"/>
      <c r="FQ159" s="25"/>
      <c r="FR159" s="25"/>
      <c r="FS159" s="25"/>
      <c r="FT159" s="25"/>
      <c r="FU159" s="25"/>
      <c r="FV159" s="25"/>
      <c r="FW159" s="25"/>
      <c r="FX159" s="25"/>
      <c r="FY159" s="25"/>
      <c r="FZ159" s="25"/>
      <c r="GA159" s="25"/>
      <c r="GB159" s="25"/>
      <c r="GC159" s="25"/>
      <c r="GD159" s="25"/>
      <c r="GE159" s="25"/>
      <c r="GF159" s="25"/>
      <c r="GG159" s="25"/>
    </row>
    <row r="160" spans="1:189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/>
      <c r="DD160" s="25"/>
      <c r="DE160" s="25"/>
      <c r="DF160" s="25"/>
      <c r="DG160" s="25"/>
      <c r="DH160" s="25"/>
      <c r="DI160" s="25"/>
      <c r="DJ160" s="25"/>
      <c r="DK160" s="25"/>
      <c r="DL160" s="25"/>
      <c r="DM160" s="25"/>
      <c r="DN160" s="25"/>
      <c r="DO160" s="25"/>
      <c r="DP160" s="25"/>
      <c r="DQ160" s="25"/>
      <c r="DR160" s="25"/>
      <c r="DS160" s="25"/>
      <c r="DT160" s="25"/>
      <c r="DU160" s="25"/>
      <c r="DV160" s="25"/>
      <c r="DW160" s="25"/>
      <c r="DX160" s="25"/>
      <c r="DY160" s="25"/>
      <c r="DZ160" s="25"/>
      <c r="EA160" s="25"/>
      <c r="EB160" s="25"/>
      <c r="EC160" s="25"/>
      <c r="ED160" s="25"/>
      <c r="EE160" s="25"/>
      <c r="EF160" s="25"/>
      <c r="EG160" s="25"/>
      <c r="EH160" s="25"/>
      <c r="EI160" s="25"/>
      <c r="EJ160" s="25"/>
      <c r="EK160" s="25"/>
      <c r="EL160" s="25"/>
      <c r="EM160" s="25"/>
      <c r="EN160" s="25"/>
      <c r="EO160" s="25"/>
      <c r="EP160" s="25"/>
      <c r="EQ160" s="25"/>
      <c r="ER160" s="25"/>
      <c r="ES160" s="25"/>
      <c r="ET160" s="25"/>
      <c r="EU160" s="25"/>
      <c r="EV160" s="25"/>
      <c r="EW160" s="25"/>
      <c r="EX160" s="25"/>
      <c r="EY160" s="25"/>
      <c r="EZ160" s="25"/>
      <c r="FA160" s="25"/>
      <c r="FB160" s="25"/>
      <c r="FC160" s="25"/>
      <c r="FD160" s="25"/>
      <c r="FE160" s="25"/>
      <c r="FF160" s="25"/>
      <c r="FG160" s="25"/>
      <c r="FH160" s="25"/>
      <c r="FI160" s="25"/>
      <c r="FJ160" s="25"/>
      <c r="FK160" s="25"/>
      <c r="FL160" s="25"/>
      <c r="FM160" s="25"/>
      <c r="FN160" s="25"/>
      <c r="FO160" s="25"/>
      <c r="FP160" s="25"/>
      <c r="FQ160" s="25"/>
      <c r="FR160" s="25"/>
      <c r="FS160" s="25"/>
      <c r="FT160" s="25"/>
      <c r="FU160" s="25"/>
      <c r="FV160" s="25"/>
      <c r="FW160" s="25"/>
      <c r="FX160" s="25"/>
      <c r="FY160" s="25"/>
      <c r="FZ160" s="25"/>
      <c r="GA160" s="25"/>
      <c r="GB160" s="25"/>
      <c r="GC160" s="25"/>
      <c r="GD160" s="25"/>
      <c r="GE160" s="25"/>
      <c r="GF160" s="25"/>
      <c r="GG160" s="25"/>
    </row>
    <row r="161" spans="1:189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  <c r="DA161" s="25"/>
      <c r="DB161" s="25"/>
      <c r="DC161" s="25"/>
      <c r="DD161" s="25"/>
      <c r="DE161" s="25"/>
      <c r="DF161" s="25"/>
      <c r="DG161" s="25"/>
      <c r="DH161" s="25"/>
      <c r="DI161" s="25"/>
      <c r="DJ161" s="25"/>
      <c r="DK161" s="25"/>
      <c r="DL161" s="25"/>
      <c r="DM161" s="25"/>
      <c r="DN161" s="25"/>
      <c r="DO161" s="25"/>
      <c r="DP161" s="25"/>
      <c r="DQ161" s="25"/>
      <c r="DR161" s="25"/>
      <c r="DS161" s="25"/>
      <c r="DT161" s="25"/>
      <c r="DU161" s="25"/>
      <c r="DV161" s="25"/>
      <c r="DW161" s="25"/>
      <c r="DX161" s="25"/>
      <c r="DY161" s="25"/>
      <c r="DZ161" s="25"/>
      <c r="EA161" s="25"/>
      <c r="EB161" s="25"/>
      <c r="EC161" s="25"/>
      <c r="ED161" s="25"/>
      <c r="EE161" s="25"/>
      <c r="EF161" s="25"/>
      <c r="EG161" s="25"/>
      <c r="EH161" s="25"/>
      <c r="EI161" s="25"/>
      <c r="EJ161" s="25"/>
      <c r="EK161" s="25"/>
      <c r="EL161" s="25"/>
      <c r="EM161" s="25"/>
      <c r="EN161" s="25"/>
      <c r="EO161" s="25"/>
      <c r="EP161" s="25"/>
      <c r="EQ161" s="25"/>
      <c r="ER161" s="25"/>
      <c r="ES161" s="25"/>
      <c r="ET161" s="25"/>
      <c r="EU161" s="25"/>
      <c r="EV161" s="25"/>
      <c r="EW161" s="25"/>
      <c r="EX161" s="25"/>
      <c r="EY161" s="25"/>
      <c r="EZ161" s="25"/>
      <c r="FA161" s="25"/>
      <c r="FB161" s="25"/>
      <c r="FC161" s="25"/>
      <c r="FD161" s="25"/>
      <c r="FE161" s="25"/>
      <c r="FF161" s="25"/>
      <c r="FG161" s="25"/>
      <c r="FH161" s="25"/>
      <c r="FI161" s="25"/>
      <c r="FJ161" s="25"/>
      <c r="FK161" s="25"/>
      <c r="FL161" s="25"/>
      <c r="FM161" s="25"/>
      <c r="FN161" s="25"/>
      <c r="FO161" s="25"/>
      <c r="FP161" s="25"/>
      <c r="FQ161" s="25"/>
      <c r="FR161" s="25"/>
      <c r="FS161" s="25"/>
      <c r="FT161" s="25"/>
      <c r="FU161" s="25"/>
      <c r="FV161" s="25"/>
      <c r="FW161" s="25"/>
      <c r="FX161" s="25"/>
      <c r="FY161" s="25"/>
      <c r="FZ161" s="25"/>
      <c r="GA161" s="25"/>
      <c r="GB161" s="25"/>
      <c r="GC161" s="25"/>
      <c r="GD161" s="25"/>
      <c r="GE161" s="25"/>
      <c r="GF161" s="25"/>
      <c r="GG161" s="25"/>
    </row>
    <row r="162" spans="1:189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  <c r="DA162" s="25"/>
      <c r="DB162" s="25"/>
      <c r="DC162" s="25"/>
      <c r="DD162" s="25"/>
      <c r="DE162" s="25"/>
      <c r="DF162" s="25"/>
      <c r="DG162" s="25"/>
      <c r="DH162" s="25"/>
      <c r="DI162" s="25"/>
      <c r="DJ162" s="25"/>
      <c r="DK162" s="25"/>
      <c r="DL162" s="25"/>
      <c r="DM162" s="25"/>
      <c r="DN162" s="25"/>
      <c r="DO162" s="25"/>
      <c r="DP162" s="25"/>
      <c r="DQ162" s="25"/>
      <c r="DR162" s="25"/>
      <c r="DS162" s="25"/>
      <c r="DT162" s="25"/>
      <c r="DU162" s="25"/>
      <c r="DV162" s="25"/>
      <c r="DW162" s="25"/>
      <c r="DX162" s="25"/>
      <c r="DY162" s="25"/>
      <c r="DZ162" s="25"/>
      <c r="EA162" s="25"/>
      <c r="EB162" s="25"/>
      <c r="EC162" s="25"/>
      <c r="ED162" s="25"/>
      <c r="EE162" s="25"/>
      <c r="EF162" s="25"/>
      <c r="EG162" s="25"/>
      <c r="EH162" s="25"/>
      <c r="EI162" s="25"/>
      <c r="EJ162" s="25"/>
      <c r="EK162" s="25"/>
      <c r="EL162" s="25"/>
      <c r="EM162" s="25"/>
      <c r="EN162" s="25"/>
      <c r="EO162" s="25"/>
      <c r="EP162" s="25"/>
      <c r="EQ162" s="25"/>
      <c r="ER162" s="25"/>
      <c r="ES162" s="25"/>
      <c r="ET162" s="25"/>
      <c r="EU162" s="25"/>
      <c r="EV162" s="25"/>
      <c r="EW162" s="25"/>
      <c r="EX162" s="25"/>
      <c r="EY162" s="25"/>
      <c r="EZ162" s="25"/>
      <c r="FA162" s="25"/>
      <c r="FB162" s="25"/>
      <c r="FC162" s="25"/>
      <c r="FD162" s="25"/>
      <c r="FE162" s="25"/>
      <c r="FF162" s="25"/>
      <c r="FG162" s="25"/>
      <c r="FH162" s="25"/>
      <c r="FI162" s="25"/>
      <c r="FJ162" s="25"/>
      <c r="FK162" s="25"/>
      <c r="FL162" s="25"/>
      <c r="FM162" s="25"/>
      <c r="FN162" s="25"/>
      <c r="FO162" s="25"/>
      <c r="FP162" s="25"/>
      <c r="FQ162" s="25"/>
      <c r="FR162" s="25"/>
      <c r="FS162" s="25"/>
      <c r="FT162" s="25"/>
      <c r="FU162" s="25"/>
      <c r="FV162" s="25"/>
      <c r="FW162" s="25"/>
      <c r="FX162" s="25"/>
      <c r="FY162" s="25"/>
      <c r="FZ162" s="25"/>
      <c r="GA162" s="25"/>
      <c r="GB162" s="25"/>
      <c r="GC162" s="25"/>
      <c r="GD162" s="25"/>
      <c r="GE162" s="25"/>
      <c r="GF162" s="25"/>
      <c r="GG162" s="25"/>
    </row>
    <row r="163" spans="1:189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  <c r="CZ163" s="25"/>
      <c r="DA163" s="25"/>
      <c r="DB163" s="25"/>
      <c r="DC163" s="25"/>
      <c r="DD163" s="25"/>
      <c r="DE163" s="25"/>
      <c r="DF163" s="25"/>
      <c r="DG163" s="25"/>
      <c r="DH163" s="25"/>
      <c r="DI163" s="25"/>
      <c r="DJ163" s="25"/>
      <c r="DK163" s="25"/>
      <c r="DL163" s="25"/>
      <c r="DM163" s="25"/>
      <c r="DN163" s="25"/>
      <c r="DO163" s="25"/>
      <c r="DP163" s="25"/>
      <c r="DQ163" s="25"/>
      <c r="DR163" s="25"/>
      <c r="DS163" s="25"/>
      <c r="DT163" s="25"/>
      <c r="DU163" s="25"/>
      <c r="DV163" s="25"/>
      <c r="DW163" s="25"/>
      <c r="DX163" s="25"/>
      <c r="DY163" s="25"/>
      <c r="DZ163" s="25"/>
      <c r="EA163" s="25"/>
      <c r="EB163" s="25"/>
      <c r="EC163" s="25"/>
      <c r="ED163" s="25"/>
      <c r="EE163" s="25"/>
      <c r="EF163" s="25"/>
      <c r="EG163" s="25"/>
      <c r="EH163" s="25"/>
      <c r="EI163" s="25"/>
      <c r="EJ163" s="25"/>
      <c r="EK163" s="25"/>
      <c r="EL163" s="25"/>
      <c r="EM163" s="25"/>
      <c r="EN163" s="25"/>
      <c r="EO163" s="25"/>
      <c r="EP163" s="25"/>
      <c r="EQ163" s="25"/>
      <c r="ER163" s="25"/>
      <c r="ES163" s="25"/>
      <c r="ET163" s="25"/>
      <c r="EU163" s="25"/>
      <c r="EV163" s="25"/>
      <c r="EW163" s="25"/>
      <c r="EX163" s="25"/>
      <c r="EY163" s="25"/>
      <c r="EZ163" s="25"/>
      <c r="FA163" s="25"/>
      <c r="FB163" s="25"/>
      <c r="FC163" s="25"/>
      <c r="FD163" s="25"/>
      <c r="FE163" s="25"/>
      <c r="FF163" s="25"/>
      <c r="FG163" s="25"/>
      <c r="FH163" s="25"/>
      <c r="FI163" s="25"/>
      <c r="FJ163" s="25"/>
      <c r="FK163" s="25"/>
      <c r="FL163" s="25"/>
      <c r="FM163" s="25"/>
      <c r="FN163" s="25"/>
      <c r="FO163" s="25"/>
      <c r="FP163" s="25"/>
      <c r="FQ163" s="25"/>
      <c r="FR163" s="25"/>
      <c r="FS163" s="25"/>
      <c r="FT163" s="25"/>
      <c r="FU163" s="25"/>
      <c r="FV163" s="25"/>
      <c r="FW163" s="25"/>
      <c r="FX163" s="25"/>
      <c r="FY163" s="25"/>
      <c r="FZ163" s="25"/>
      <c r="GA163" s="25"/>
      <c r="GB163" s="25"/>
      <c r="GC163" s="25"/>
      <c r="GD163" s="25"/>
      <c r="GE163" s="25"/>
      <c r="GF163" s="25"/>
      <c r="GG163" s="25"/>
    </row>
    <row r="164" spans="1:189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  <c r="CZ164" s="25"/>
      <c r="DA164" s="25"/>
      <c r="DB164" s="25"/>
      <c r="DC164" s="25"/>
      <c r="DD164" s="25"/>
      <c r="DE164" s="25"/>
      <c r="DF164" s="25"/>
      <c r="DG164" s="25"/>
      <c r="DH164" s="25"/>
      <c r="DI164" s="25"/>
      <c r="DJ164" s="25"/>
      <c r="DK164" s="25"/>
      <c r="DL164" s="25"/>
      <c r="DM164" s="25"/>
      <c r="DN164" s="25"/>
      <c r="DO164" s="25"/>
      <c r="DP164" s="25"/>
      <c r="DQ164" s="25"/>
      <c r="DR164" s="25"/>
      <c r="DS164" s="25"/>
      <c r="DT164" s="25"/>
      <c r="DU164" s="25"/>
      <c r="DV164" s="25"/>
      <c r="DW164" s="25"/>
      <c r="DX164" s="25"/>
      <c r="DY164" s="25"/>
      <c r="DZ164" s="25"/>
      <c r="EA164" s="25"/>
      <c r="EB164" s="25"/>
      <c r="EC164" s="25"/>
      <c r="ED164" s="25"/>
      <c r="EE164" s="25"/>
      <c r="EF164" s="25"/>
      <c r="EG164" s="25"/>
      <c r="EH164" s="25"/>
      <c r="EI164" s="25"/>
      <c r="EJ164" s="25"/>
      <c r="EK164" s="25"/>
      <c r="EL164" s="25"/>
      <c r="EM164" s="25"/>
      <c r="EN164" s="25"/>
      <c r="EO164" s="25"/>
      <c r="EP164" s="25"/>
      <c r="EQ164" s="25"/>
      <c r="ER164" s="25"/>
      <c r="ES164" s="25"/>
      <c r="ET164" s="25"/>
      <c r="EU164" s="25"/>
      <c r="EV164" s="25"/>
      <c r="EW164" s="25"/>
      <c r="EX164" s="25"/>
      <c r="EY164" s="25"/>
      <c r="EZ164" s="25"/>
      <c r="FA164" s="25"/>
      <c r="FB164" s="25"/>
      <c r="FC164" s="25"/>
      <c r="FD164" s="25"/>
      <c r="FE164" s="25"/>
      <c r="FF164" s="25"/>
      <c r="FG164" s="25"/>
      <c r="FH164" s="25"/>
      <c r="FI164" s="25"/>
      <c r="FJ164" s="25"/>
      <c r="FK164" s="25"/>
      <c r="FL164" s="25"/>
      <c r="FM164" s="25"/>
      <c r="FN164" s="25"/>
      <c r="FO164" s="25"/>
      <c r="FP164" s="25"/>
      <c r="FQ164" s="25"/>
      <c r="FR164" s="25"/>
      <c r="FS164" s="25"/>
      <c r="FT164" s="25"/>
      <c r="FU164" s="25"/>
      <c r="FV164" s="25"/>
      <c r="FW164" s="25"/>
      <c r="FX164" s="25"/>
      <c r="FY164" s="25"/>
      <c r="FZ164" s="25"/>
      <c r="GA164" s="25"/>
      <c r="GB164" s="25"/>
      <c r="GC164" s="25"/>
      <c r="GD164" s="25"/>
      <c r="GE164" s="25"/>
      <c r="GF164" s="25"/>
      <c r="GG164" s="25"/>
    </row>
    <row r="165" spans="1:189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  <c r="CZ165" s="25"/>
      <c r="DA165" s="25"/>
      <c r="DB165" s="25"/>
      <c r="DC165" s="25"/>
      <c r="DD165" s="25"/>
      <c r="DE165" s="25"/>
      <c r="DF165" s="25"/>
      <c r="DG165" s="25"/>
      <c r="DH165" s="25"/>
      <c r="DI165" s="25"/>
      <c r="DJ165" s="25"/>
      <c r="DK165" s="25"/>
      <c r="DL165" s="25"/>
      <c r="DM165" s="25"/>
      <c r="DN165" s="25"/>
      <c r="DO165" s="25"/>
      <c r="DP165" s="25"/>
      <c r="DQ165" s="25"/>
      <c r="DR165" s="25"/>
      <c r="DS165" s="25"/>
      <c r="DT165" s="25"/>
      <c r="DU165" s="25"/>
      <c r="DV165" s="25"/>
      <c r="DW165" s="25"/>
      <c r="DX165" s="25"/>
      <c r="DY165" s="25"/>
      <c r="DZ165" s="25"/>
      <c r="EA165" s="25"/>
      <c r="EB165" s="25"/>
      <c r="EC165" s="25"/>
      <c r="ED165" s="25"/>
      <c r="EE165" s="25"/>
      <c r="EF165" s="25"/>
      <c r="EG165" s="25"/>
      <c r="EH165" s="25"/>
      <c r="EI165" s="25"/>
      <c r="EJ165" s="25"/>
      <c r="EK165" s="25"/>
      <c r="EL165" s="25"/>
      <c r="EM165" s="25"/>
      <c r="EN165" s="25"/>
      <c r="EO165" s="25"/>
      <c r="EP165" s="25"/>
      <c r="EQ165" s="25"/>
      <c r="ER165" s="25"/>
      <c r="ES165" s="25"/>
      <c r="ET165" s="25"/>
      <c r="EU165" s="25"/>
      <c r="EV165" s="25"/>
      <c r="EW165" s="25"/>
      <c r="EX165" s="25"/>
      <c r="EY165" s="25"/>
      <c r="EZ165" s="25"/>
      <c r="FA165" s="25"/>
      <c r="FB165" s="25"/>
      <c r="FC165" s="25"/>
      <c r="FD165" s="25"/>
      <c r="FE165" s="25"/>
      <c r="FF165" s="25"/>
      <c r="FG165" s="25"/>
      <c r="FH165" s="25"/>
      <c r="FI165" s="25"/>
      <c r="FJ165" s="25"/>
      <c r="FK165" s="25"/>
      <c r="FL165" s="25"/>
      <c r="FM165" s="25"/>
      <c r="FN165" s="25"/>
      <c r="FO165" s="25"/>
      <c r="FP165" s="25"/>
      <c r="FQ165" s="25"/>
      <c r="FR165" s="25"/>
      <c r="FS165" s="25"/>
      <c r="FT165" s="25"/>
      <c r="FU165" s="25"/>
      <c r="FV165" s="25"/>
      <c r="FW165" s="25"/>
      <c r="FX165" s="25"/>
      <c r="FY165" s="25"/>
      <c r="FZ165" s="25"/>
      <c r="GA165" s="25"/>
      <c r="GB165" s="25"/>
      <c r="GC165" s="25"/>
      <c r="GD165" s="25"/>
      <c r="GE165" s="25"/>
      <c r="GF165" s="25"/>
      <c r="GG165" s="25"/>
    </row>
    <row r="166" spans="1:189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  <c r="CZ166" s="25"/>
      <c r="DA166" s="25"/>
      <c r="DB166" s="25"/>
      <c r="DC166" s="25"/>
      <c r="DD166" s="25"/>
      <c r="DE166" s="25"/>
      <c r="DF166" s="25"/>
      <c r="DG166" s="25"/>
      <c r="DH166" s="25"/>
      <c r="DI166" s="25"/>
      <c r="DJ166" s="25"/>
      <c r="DK166" s="25"/>
      <c r="DL166" s="25"/>
      <c r="DM166" s="25"/>
      <c r="DN166" s="25"/>
      <c r="DO166" s="25"/>
      <c r="DP166" s="25"/>
      <c r="DQ166" s="25"/>
      <c r="DR166" s="25"/>
      <c r="DS166" s="25"/>
      <c r="DT166" s="25"/>
      <c r="DU166" s="25"/>
      <c r="DV166" s="25"/>
      <c r="DW166" s="25"/>
      <c r="DX166" s="25"/>
      <c r="DY166" s="25"/>
      <c r="DZ166" s="25"/>
      <c r="EA166" s="25"/>
      <c r="EB166" s="25"/>
      <c r="EC166" s="25"/>
      <c r="ED166" s="25"/>
      <c r="EE166" s="25"/>
      <c r="EF166" s="25"/>
      <c r="EG166" s="25"/>
      <c r="EH166" s="25"/>
      <c r="EI166" s="25"/>
      <c r="EJ166" s="25"/>
      <c r="EK166" s="25"/>
      <c r="EL166" s="25"/>
      <c r="EM166" s="25"/>
      <c r="EN166" s="25"/>
      <c r="EO166" s="25"/>
      <c r="EP166" s="25"/>
      <c r="EQ166" s="25"/>
      <c r="ER166" s="25"/>
      <c r="ES166" s="25"/>
      <c r="ET166" s="25"/>
      <c r="EU166" s="25"/>
      <c r="EV166" s="25"/>
      <c r="EW166" s="25"/>
      <c r="EX166" s="25"/>
      <c r="EY166" s="25"/>
      <c r="EZ166" s="25"/>
      <c r="FA166" s="25"/>
      <c r="FB166" s="25"/>
      <c r="FC166" s="25"/>
      <c r="FD166" s="25"/>
      <c r="FE166" s="25"/>
      <c r="FF166" s="25"/>
      <c r="FG166" s="25"/>
      <c r="FH166" s="25"/>
      <c r="FI166" s="25"/>
      <c r="FJ166" s="25"/>
      <c r="FK166" s="25"/>
      <c r="FL166" s="25"/>
      <c r="FM166" s="25"/>
      <c r="FN166" s="25"/>
      <c r="FO166" s="25"/>
      <c r="FP166" s="25"/>
      <c r="FQ166" s="25"/>
      <c r="FR166" s="25"/>
      <c r="FS166" s="25"/>
      <c r="FT166" s="25"/>
      <c r="FU166" s="25"/>
      <c r="FV166" s="25"/>
      <c r="FW166" s="25"/>
      <c r="FX166" s="25"/>
      <c r="FY166" s="25"/>
      <c r="FZ166" s="25"/>
      <c r="GA166" s="25"/>
      <c r="GB166" s="25"/>
      <c r="GC166" s="25"/>
      <c r="GD166" s="25"/>
      <c r="GE166" s="25"/>
      <c r="GF166" s="25"/>
      <c r="GG166" s="25"/>
    </row>
    <row r="167" spans="1:189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  <c r="CZ167" s="25"/>
      <c r="DA167" s="25"/>
      <c r="DB167" s="25"/>
      <c r="DC167" s="25"/>
      <c r="DD167" s="25"/>
      <c r="DE167" s="25"/>
      <c r="DF167" s="25"/>
      <c r="DG167" s="25"/>
      <c r="DH167" s="25"/>
      <c r="DI167" s="25"/>
      <c r="DJ167" s="25"/>
      <c r="DK167" s="25"/>
      <c r="DL167" s="25"/>
      <c r="DM167" s="25"/>
      <c r="DN167" s="25"/>
      <c r="DO167" s="25"/>
      <c r="DP167" s="25"/>
      <c r="DQ167" s="25"/>
      <c r="DR167" s="25"/>
      <c r="DS167" s="25"/>
      <c r="DT167" s="25"/>
      <c r="DU167" s="25"/>
      <c r="DV167" s="25"/>
      <c r="DW167" s="25"/>
      <c r="DX167" s="25"/>
      <c r="DY167" s="25"/>
      <c r="DZ167" s="25"/>
      <c r="EA167" s="25"/>
      <c r="EB167" s="25"/>
      <c r="EC167" s="25"/>
      <c r="ED167" s="25"/>
      <c r="EE167" s="25"/>
      <c r="EF167" s="25"/>
      <c r="EG167" s="25"/>
      <c r="EH167" s="25"/>
      <c r="EI167" s="25"/>
      <c r="EJ167" s="25"/>
      <c r="EK167" s="25"/>
      <c r="EL167" s="25"/>
      <c r="EM167" s="25"/>
      <c r="EN167" s="25"/>
      <c r="EO167" s="25"/>
      <c r="EP167" s="25"/>
      <c r="EQ167" s="25"/>
      <c r="ER167" s="25"/>
      <c r="ES167" s="25"/>
      <c r="ET167" s="25"/>
      <c r="EU167" s="25"/>
      <c r="EV167" s="25"/>
      <c r="EW167" s="25"/>
      <c r="EX167" s="25"/>
      <c r="EY167" s="25"/>
      <c r="EZ167" s="25"/>
      <c r="FA167" s="25"/>
      <c r="FB167" s="25"/>
      <c r="FC167" s="25"/>
      <c r="FD167" s="25"/>
      <c r="FE167" s="25"/>
      <c r="FF167" s="25"/>
      <c r="FG167" s="25"/>
      <c r="FH167" s="25"/>
      <c r="FI167" s="25"/>
      <c r="FJ167" s="25"/>
      <c r="FK167" s="25"/>
      <c r="FL167" s="25"/>
      <c r="FM167" s="25"/>
      <c r="FN167" s="25"/>
      <c r="FO167" s="25"/>
      <c r="FP167" s="25"/>
      <c r="FQ167" s="25"/>
      <c r="FR167" s="25"/>
      <c r="FS167" s="25"/>
      <c r="FT167" s="25"/>
      <c r="FU167" s="25"/>
      <c r="FV167" s="25"/>
      <c r="FW167" s="25"/>
      <c r="FX167" s="25"/>
      <c r="FY167" s="25"/>
      <c r="FZ167" s="25"/>
      <c r="GA167" s="25"/>
      <c r="GB167" s="25"/>
      <c r="GC167" s="25"/>
      <c r="GD167" s="25"/>
      <c r="GE167" s="25"/>
      <c r="GF167" s="25"/>
      <c r="GG167" s="25"/>
    </row>
    <row r="168" spans="1:189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  <c r="DA168" s="25"/>
      <c r="DB168" s="25"/>
      <c r="DC168" s="25"/>
      <c r="DD168" s="25"/>
      <c r="DE168" s="25"/>
      <c r="DF168" s="25"/>
      <c r="DG168" s="25"/>
      <c r="DH168" s="25"/>
      <c r="DI168" s="25"/>
      <c r="DJ168" s="25"/>
      <c r="DK168" s="25"/>
      <c r="DL168" s="25"/>
      <c r="DM168" s="25"/>
      <c r="DN168" s="25"/>
      <c r="DO168" s="25"/>
      <c r="DP168" s="25"/>
      <c r="DQ168" s="25"/>
      <c r="DR168" s="25"/>
      <c r="DS168" s="25"/>
      <c r="DT168" s="25"/>
      <c r="DU168" s="25"/>
      <c r="DV168" s="25"/>
      <c r="DW168" s="25"/>
      <c r="DX168" s="25"/>
      <c r="DY168" s="25"/>
      <c r="DZ168" s="25"/>
      <c r="EA168" s="25"/>
      <c r="EB168" s="25"/>
      <c r="EC168" s="25"/>
      <c r="ED168" s="25"/>
      <c r="EE168" s="25"/>
      <c r="EF168" s="25"/>
      <c r="EG168" s="25"/>
      <c r="EH168" s="25"/>
      <c r="EI168" s="25"/>
      <c r="EJ168" s="25"/>
      <c r="EK168" s="25"/>
      <c r="EL168" s="25"/>
      <c r="EM168" s="25"/>
      <c r="EN168" s="25"/>
      <c r="EO168" s="25"/>
      <c r="EP168" s="25"/>
      <c r="EQ168" s="25"/>
      <c r="ER168" s="25"/>
      <c r="ES168" s="25"/>
      <c r="ET168" s="25"/>
      <c r="EU168" s="25"/>
      <c r="EV168" s="25"/>
      <c r="EW168" s="25"/>
      <c r="EX168" s="25"/>
      <c r="EY168" s="25"/>
      <c r="EZ168" s="25"/>
      <c r="FA168" s="25"/>
      <c r="FB168" s="25"/>
      <c r="FC168" s="25"/>
      <c r="FD168" s="25"/>
      <c r="FE168" s="25"/>
      <c r="FF168" s="25"/>
      <c r="FG168" s="25"/>
      <c r="FH168" s="25"/>
      <c r="FI168" s="25"/>
      <c r="FJ168" s="25"/>
      <c r="FK168" s="25"/>
      <c r="FL168" s="25"/>
      <c r="FM168" s="25"/>
      <c r="FN168" s="25"/>
      <c r="FO168" s="25"/>
      <c r="FP168" s="25"/>
      <c r="FQ168" s="25"/>
      <c r="FR168" s="25"/>
      <c r="FS168" s="25"/>
      <c r="FT168" s="25"/>
      <c r="FU168" s="25"/>
      <c r="FV168" s="25"/>
      <c r="FW168" s="25"/>
      <c r="FX168" s="25"/>
      <c r="FY168" s="25"/>
      <c r="FZ168" s="25"/>
      <c r="GA168" s="25"/>
      <c r="GB168" s="25"/>
      <c r="GC168" s="25"/>
      <c r="GD168" s="25"/>
      <c r="GE168" s="25"/>
      <c r="GF168" s="25"/>
      <c r="GG168" s="25"/>
    </row>
    <row r="169" spans="1:189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/>
      <c r="DB169" s="25"/>
      <c r="DC169" s="25"/>
      <c r="DD169" s="25"/>
      <c r="DE169" s="25"/>
      <c r="DF169" s="25"/>
      <c r="DG169" s="25"/>
      <c r="DH169" s="25"/>
      <c r="DI169" s="25"/>
      <c r="DJ169" s="25"/>
      <c r="DK169" s="25"/>
      <c r="DL169" s="25"/>
      <c r="DM169" s="25"/>
      <c r="DN169" s="25"/>
      <c r="DO169" s="25"/>
      <c r="DP169" s="25"/>
      <c r="DQ169" s="25"/>
      <c r="DR169" s="25"/>
      <c r="DS169" s="25"/>
      <c r="DT169" s="25"/>
      <c r="DU169" s="25"/>
      <c r="DV169" s="25"/>
      <c r="DW169" s="25"/>
      <c r="DX169" s="25"/>
      <c r="DY169" s="25"/>
      <c r="DZ169" s="25"/>
      <c r="EA169" s="25"/>
      <c r="EB169" s="25"/>
      <c r="EC169" s="25"/>
      <c r="ED169" s="25"/>
      <c r="EE169" s="25"/>
      <c r="EF169" s="25"/>
      <c r="EG169" s="25"/>
      <c r="EH169" s="25"/>
      <c r="EI169" s="25"/>
      <c r="EJ169" s="25"/>
      <c r="EK169" s="25"/>
      <c r="EL169" s="25"/>
      <c r="EM169" s="25"/>
      <c r="EN169" s="25"/>
      <c r="EO169" s="25"/>
      <c r="EP169" s="25"/>
      <c r="EQ169" s="25"/>
      <c r="ER169" s="25"/>
      <c r="ES169" s="25"/>
      <c r="ET169" s="25"/>
      <c r="EU169" s="25"/>
      <c r="EV169" s="25"/>
      <c r="EW169" s="25"/>
      <c r="EX169" s="25"/>
      <c r="EY169" s="25"/>
      <c r="EZ169" s="25"/>
      <c r="FA169" s="25"/>
      <c r="FB169" s="25"/>
      <c r="FC169" s="25"/>
      <c r="FD169" s="25"/>
      <c r="FE169" s="25"/>
      <c r="FF169" s="25"/>
      <c r="FG169" s="25"/>
      <c r="FH169" s="25"/>
      <c r="FI169" s="25"/>
      <c r="FJ169" s="25"/>
      <c r="FK169" s="25"/>
      <c r="FL169" s="25"/>
      <c r="FM169" s="25"/>
      <c r="FN169" s="25"/>
      <c r="FO169" s="25"/>
      <c r="FP169" s="25"/>
      <c r="FQ169" s="25"/>
      <c r="FR169" s="25"/>
      <c r="FS169" s="25"/>
      <c r="FT169" s="25"/>
      <c r="FU169" s="25"/>
      <c r="FV169" s="25"/>
      <c r="FW169" s="25"/>
      <c r="FX169" s="25"/>
      <c r="FY169" s="25"/>
      <c r="FZ169" s="25"/>
      <c r="GA169" s="25"/>
      <c r="GB169" s="25"/>
      <c r="GC169" s="25"/>
      <c r="GD169" s="25"/>
      <c r="GE169" s="25"/>
      <c r="GF169" s="25"/>
      <c r="GG169" s="25"/>
    </row>
    <row r="170" spans="1:189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  <c r="DA170" s="25"/>
      <c r="DB170" s="25"/>
      <c r="DC170" s="25"/>
      <c r="DD170" s="25"/>
      <c r="DE170" s="25"/>
      <c r="DF170" s="25"/>
      <c r="DG170" s="25"/>
      <c r="DH170" s="25"/>
      <c r="DI170" s="25"/>
      <c r="DJ170" s="25"/>
      <c r="DK170" s="25"/>
      <c r="DL170" s="25"/>
      <c r="DM170" s="25"/>
      <c r="DN170" s="25"/>
      <c r="DO170" s="25"/>
      <c r="DP170" s="25"/>
      <c r="DQ170" s="25"/>
      <c r="DR170" s="25"/>
      <c r="DS170" s="25"/>
      <c r="DT170" s="25"/>
      <c r="DU170" s="25"/>
      <c r="DV170" s="25"/>
      <c r="DW170" s="25"/>
      <c r="DX170" s="25"/>
      <c r="DY170" s="25"/>
      <c r="DZ170" s="25"/>
      <c r="EA170" s="25"/>
      <c r="EB170" s="25"/>
      <c r="EC170" s="25"/>
      <c r="ED170" s="25"/>
      <c r="EE170" s="25"/>
      <c r="EF170" s="25"/>
      <c r="EG170" s="25"/>
      <c r="EH170" s="25"/>
      <c r="EI170" s="25"/>
      <c r="EJ170" s="25"/>
      <c r="EK170" s="25"/>
      <c r="EL170" s="25"/>
      <c r="EM170" s="25"/>
      <c r="EN170" s="25"/>
      <c r="EO170" s="25"/>
      <c r="EP170" s="25"/>
      <c r="EQ170" s="25"/>
      <c r="ER170" s="25"/>
      <c r="ES170" s="25"/>
      <c r="ET170" s="25"/>
      <c r="EU170" s="25"/>
      <c r="EV170" s="25"/>
      <c r="EW170" s="25"/>
      <c r="EX170" s="25"/>
      <c r="EY170" s="25"/>
      <c r="EZ170" s="25"/>
      <c r="FA170" s="25"/>
      <c r="FB170" s="25"/>
      <c r="FC170" s="25"/>
      <c r="FD170" s="25"/>
      <c r="FE170" s="25"/>
      <c r="FF170" s="25"/>
      <c r="FG170" s="25"/>
      <c r="FH170" s="25"/>
      <c r="FI170" s="25"/>
      <c r="FJ170" s="25"/>
      <c r="FK170" s="25"/>
      <c r="FL170" s="25"/>
      <c r="FM170" s="25"/>
      <c r="FN170" s="25"/>
      <c r="FO170" s="25"/>
      <c r="FP170" s="25"/>
      <c r="FQ170" s="25"/>
      <c r="FR170" s="25"/>
      <c r="FS170" s="25"/>
      <c r="FT170" s="25"/>
      <c r="FU170" s="25"/>
      <c r="FV170" s="25"/>
      <c r="FW170" s="25"/>
      <c r="FX170" s="25"/>
      <c r="FY170" s="25"/>
      <c r="FZ170" s="25"/>
      <c r="GA170" s="25"/>
      <c r="GB170" s="25"/>
      <c r="GC170" s="25"/>
      <c r="GD170" s="25"/>
      <c r="GE170" s="25"/>
      <c r="GF170" s="25"/>
      <c r="GG170" s="25"/>
    </row>
    <row r="171" spans="1:189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  <c r="DA171" s="25"/>
      <c r="DB171" s="25"/>
      <c r="DC171" s="25"/>
      <c r="DD171" s="25"/>
      <c r="DE171" s="25"/>
      <c r="DF171" s="25"/>
      <c r="DG171" s="25"/>
      <c r="DH171" s="25"/>
      <c r="DI171" s="25"/>
      <c r="DJ171" s="25"/>
      <c r="DK171" s="25"/>
      <c r="DL171" s="25"/>
      <c r="DM171" s="25"/>
      <c r="DN171" s="25"/>
      <c r="DO171" s="25"/>
      <c r="DP171" s="25"/>
      <c r="DQ171" s="25"/>
      <c r="DR171" s="25"/>
      <c r="DS171" s="25"/>
      <c r="DT171" s="25"/>
      <c r="DU171" s="25"/>
      <c r="DV171" s="25"/>
      <c r="DW171" s="25"/>
      <c r="DX171" s="25"/>
      <c r="DY171" s="25"/>
      <c r="DZ171" s="25"/>
      <c r="EA171" s="25"/>
      <c r="EB171" s="25"/>
      <c r="EC171" s="25"/>
      <c r="ED171" s="25"/>
      <c r="EE171" s="25"/>
      <c r="EF171" s="25"/>
      <c r="EG171" s="25"/>
      <c r="EH171" s="25"/>
      <c r="EI171" s="25"/>
      <c r="EJ171" s="25"/>
      <c r="EK171" s="25"/>
      <c r="EL171" s="25"/>
      <c r="EM171" s="25"/>
      <c r="EN171" s="25"/>
      <c r="EO171" s="25"/>
      <c r="EP171" s="25"/>
      <c r="EQ171" s="25"/>
      <c r="ER171" s="25"/>
      <c r="ES171" s="25"/>
      <c r="ET171" s="25"/>
      <c r="EU171" s="25"/>
      <c r="EV171" s="25"/>
      <c r="EW171" s="25"/>
      <c r="EX171" s="25"/>
      <c r="EY171" s="25"/>
      <c r="EZ171" s="25"/>
      <c r="FA171" s="25"/>
      <c r="FB171" s="25"/>
      <c r="FC171" s="25"/>
      <c r="FD171" s="25"/>
      <c r="FE171" s="25"/>
      <c r="FF171" s="25"/>
      <c r="FG171" s="25"/>
      <c r="FH171" s="25"/>
      <c r="FI171" s="25"/>
      <c r="FJ171" s="25"/>
      <c r="FK171" s="25"/>
      <c r="FL171" s="25"/>
      <c r="FM171" s="25"/>
      <c r="FN171" s="25"/>
      <c r="FO171" s="25"/>
      <c r="FP171" s="25"/>
      <c r="FQ171" s="25"/>
      <c r="FR171" s="25"/>
      <c r="FS171" s="25"/>
      <c r="FT171" s="25"/>
      <c r="FU171" s="25"/>
      <c r="FV171" s="25"/>
      <c r="FW171" s="25"/>
      <c r="FX171" s="25"/>
      <c r="FY171" s="25"/>
      <c r="FZ171" s="25"/>
      <c r="GA171" s="25"/>
      <c r="GB171" s="25"/>
      <c r="GC171" s="25"/>
      <c r="GD171" s="25"/>
      <c r="GE171" s="25"/>
      <c r="GF171" s="25"/>
      <c r="GG171" s="25"/>
    </row>
    <row r="172" spans="1:189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/>
      <c r="DB172" s="25"/>
      <c r="DC172" s="25"/>
      <c r="DD172" s="25"/>
      <c r="DE172" s="25"/>
      <c r="DF172" s="25"/>
      <c r="DG172" s="25"/>
      <c r="DH172" s="25"/>
      <c r="DI172" s="25"/>
      <c r="DJ172" s="25"/>
      <c r="DK172" s="25"/>
      <c r="DL172" s="25"/>
      <c r="DM172" s="25"/>
      <c r="DN172" s="25"/>
      <c r="DO172" s="25"/>
      <c r="DP172" s="25"/>
      <c r="DQ172" s="25"/>
      <c r="DR172" s="25"/>
      <c r="DS172" s="25"/>
      <c r="DT172" s="25"/>
      <c r="DU172" s="25"/>
      <c r="DV172" s="25"/>
      <c r="DW172" s="25"/>
      <c r="DX172" s="25"/>
      <c r="DY172" s="25"/>
      <c r="DZ172" s="25"/>
      <c r="EA172" s="25"/>
      <c r="EB172" s="25"/>
      <c r="EC172" s="25"/>
      <c r="ED172" s="25"/>
      <c r="EE172" s="25"/>
      <c r="EF172" s="25"/>
      <c r="EG172" s="25"/>
      <c r="EH172" s="25"/>
      <c r="EI172" s="25"/>
      <c r="EJ172" s="25"/>
      <c r="EK172" s="25"/>
      <c r="EL172" s="25"/>
      <c r="EM172" s="25"/>
      <c r="EN172" s="25"/>
      <c r="EO172" s="25"/>
      <c r="EP172" s="25"/>
      <c r="EQ172" s="25"/>
      <c r="ER172" s="25"/>
      <c r="ES172" s="25"/>
      <c r="ET172" s="25"/>
      <c r="EU172" s="25"/>
      <c r="EV172" s="25"/>
      <c r="EW172" s="25"/>
      <c r="EX172" s="25"/>
      <c r="EY172" s="25"/>
      <c r="EZ172" s="25"/>
      <c r="FA172" s="25"/>
      <c r="FB172" s="25"/>
      <c r="FC172" s="25"/>
      <c r="FD172" s="25"/>
      <c r="FE172" s="25"/>
      <c r="FF172" s="25"/>
      <c r="FG172" s="25"/>
      <c r="FH172" s="25"/>
      <c r="FI172" s="25"/>
      <c r="FJ172" s="25"/>
      <c r="FK172" s="25"/>
      <c r="FL172" s="25"/>
      <c r="FM172" s="25"/>
      <c r="FN172" s="25"/>
      <c r="FO172" s="25"/>
      <c r="FP172" s="25"/>
      <c r="FQ172" s="25"/>
      <c r="FR172" s="25"/>
      <c r="FS172" s="25"/>
      <c r="FT172" s="25"/>
      <c r="FU172" s="25"/>
      <c r="FV172" s="25"/>
      <c r="FW172" s="25"/>
      <c r="FX172" s="25"/>
      <c r="FY172" s="25"/>
      <c r="FZ172" s="25"/>
      <c r="GA172" s="25"/>
      <c r="GB172" s="25"/>
      <c r="GC172" s="25"/>
      <c r="GD172" s="25"/>
      <c r="GE172" s="25"/>
      <c r="GF172" s="25"/>
      <c r="GG172" s="25"/>
    </row>
    <row r="173" spans="1:189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  <c r="DA173" s="25"/>
      <c r="DB173" s="25"/>
      <c r="DC173" s="25"/>
      <c r="DD173" s="25"/>
      <c r="DE173" s="25"/>
      <c r="DF173" s="25"/>
      <c r="DG173" s="25"/>
      <c r="DH173" s="25"/>
      <c r="DI173" s="25"/>
      <c r="DJ173" s="25"/>
      <c r="DK173" s="25"/>
      <c r="DL173" s="25"/>
      <c r="DM173" s="25"/>
      <c r="DN173" s="25"/>
      <c r="DO173" s="25"/>
      <c r="DP173" s="25"/>
      <c r="DQ173" s="25"/>
      <c r="DR173" s="25"/>
      <c r="DS173" s="25"/>
      <c r="DT173" s="25"/>
      <c r="DU173" s="25"/>
      <c r="DV173" s="25"/>
      <c r="DW173" s="25"/>
      <c r="DX173" s="25"/>
      <c r="DY173" s="25"/>
      <c r="DZ173" s="25"/>
      <c r="EA173" s="25"/>
      <c r="EB173" s="25"/>
      <c r="EC173" s="25"/>
      <c r="ED173" s="25"/>
      <c r="EE173" s="25"/>
      <c r="EF173" s="25"/>
      <c r="EG173" s="25"/>
      <c r="EH173" s="25"/>
      <c r="EI173" s="25"/>
      <c r="EJ173" s="25"/>
      <c r="EK173" s="25"/>
      <c r="EL173" s="25"/>
      <c r="EM173" s="25"/>
      <c r="EN173" s="25"/>
      <c r="EO173" s="25"/>
      <c r="EP173" s="25"/>
      <c r="EQ173" s="25"/>
      <c r="ER173" s="25"/>
      <c r="ES173" s="25"/>
      <c r="ET173" s="25"/>
      <c r="EU173" s="25"/>
      <c r="EV173" s="25"/>
      <c r="EW173" s="25"/>
      <c r="EX173" s="25"/>
      <c r="EY173" s="25"/>
      <c r="EZ173" s="25"/>
      <c r="FA173" s="25"/>
      <c r="FB173" s="25"/>
      <c r="FC173" s="25"/>
      <c r="FD173" s="25"/>
      <c r="FE173" s="25"/>
      <c r="FF173" s="25"/>
      <c r="FG173" s="25"/>
      <c r="FH173" s="25"/>
      <c r="FI173" s="25"/>
      <c r="FJ173" s="25"/>
      <c r="FK173" s="25"/>
      <c r="FL173" s="25"/>
      <c r="FM173" s="25"/>
      <c r="FN173" s="25"/>
      <c r="FO173" s="25"/>
      <c r="FP173" s="25"/>
      <c r="FQ173" s="25"/>
      <c r="FR173" s="25"/>
      <c r="FS173" s="25"/>
      <c r="FT173" s="25"/>
      <c r="FU173" s="25"/>
      <c r="FV173" s="25"/>
      <c r="FW173" s="25"/>
      <c r="FX173" s="25"/>
      <c r="FY173" s="25"/>
      <c r="FZ173" s="25"/>
      <c r="GA173" s="25"/>
      <c r="GB173" s="25"/>
      <c r="GC173" s="25"/>
      <c r="GD173" s="25"/>
      <c r="GE173" s="25"/>
      <c r="GF173" s="25"/>
      <c r="GG173" s="25"/>
    </row>
    <row r="174" spans="1:189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  <c r="CZ174" s="25"/>
      <c r="DA174" s="25"/>
      <c r="DB174" s="25"/>
      <c r="DC174" s="25"/>
      <c r="DD174" s="25"/>
      <c r="DE174" s="25"/>
      <c r="DF174" s="25"/>
      <c r="DG174" s="25"/>
      <c r="DH174" s="25"/>
      <c r="DI174" s="25"/>
      <c r="DJ174" s="25"/>
      <c r="DK174" s="25"/>
      <c r="DL174" s="25"/>
      <c r="DM174" s="25"/>
      <c r="DN174" s="25"/>
      <c r="DO174" s="25"/>
      <c r="DP174" s="25"/>
      <c r="DQ174" s="25"/>
      <c r="DR174" s="25"/>
      <c r="DS174" s="25"/>
      <c r="DT174" s="25"/>
      <c r="DU174" s="25"/>
      <c r="DV174" s="25"/>
      <c r="DW174" s="25"/>
      <c r="DX174" s="25"/>
      <c r="DY174" s="25"/>
      <c r="DZ174" s="25"/>
      <c r="EA174" s="25"/>
      <c r="EB174" s="25"/>
      <c r="EC174" s="25"/>
      <c r="ED174" s="25"/>
      <c r="EE174" s="25"/>
      <c r="EF174" s="25"/>
      <c r="EG174" s="25"/>
      <c r="EH174" s="25"/>
      <c r="EI174" s="25"/>
      <c r="EJ174" s="25"/>
      <c r="EK174" s="25"/>
      <c r="EL174" s="25"/>
      <c r="EM174" s="25"/>
      <c r="EN174" s="25"/>
      <c r="EO174" s="25"/>
      <c r="EP174" s="25"/>
      <c r="EQ174" s="25"/>
      <c r="ER174" s="25"/>
      <c r="ES174" s="25"/>
      <c r="ET174" s="25"/>
      <c r="EU174" s="25"/>
      <c r="EV174" s="25"/>
      <c r="EW174" s="25"/>
      <c r="EX174" s="25"/>
      <c r="EY174" s="25"/>
      <c r="EZ174" s="25"/>
      <c r="FA174" s="25"/>
      <c r="FB174" s="25"/>
      <c r="FC174" s="25"/>
      <c r="FD174" s="25"/>
      <c r="FE174" s="25"/>
      <c r="FF174" s="25"/>
      <c r="FG174" s="25"/>
      <c r="FH174" s="25"/>
      <c r="FI174" s="25"/>
      <c r="FJ174" s="25"/>
      <c r="FK174" s="25"/>
      <c r="FL174" s="25"/>
      <c r="FM174" s="25"/>
      <c r="FN174" s="25"/>
      <c r="FO174" s="25"/>
      <c r="FP174" s="25"/>
      <c r="FQ174" s="25"/>
      <c r="FR174" s="25"/>
      <c r="FS174" s="25"/>
      <c r="FT174" s="25"/>
      <c r="FU174" s="25"/>
      <c r="FV174" s="25"/>
      <c r="FW174" s="25"/>
      <c r="FX174" s="25"/>
      <c r="FY174" s="25"/>
      <c r="FZ174" s="25"/>
      <c r="GA174" s="25"/>
      <c r="GB174" s="25"/>
      <c r="GC174" s="25"/>
      <c r="GD174" s="25"/>
      <c r="GE174" s="25"/>
      <c r="GF174" s="25"/>
      <c r="GG174" s="25"/>
    </row>
    <row r="175" spans="1:189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  <c r="DA175" s="25"/>
      <c r="DB175" s="25"/>
      <c r="DC175" s="25"/>
      <c r="DD175" s="25"/>
      <c r="DE175" s="25"/>
      <c r="DF175" s="25"/>
      <c r="DG175" s="25"/>
      <c r="DH175" s="25"/>
      <c r="DI175" s="25"/>
      <c r="DJ175" s="25"/>
      <c r="DK175" s="25"/>
      <c r="DL175" s="25"/>
      <c r="DM175" s="25"/>
      <c r="DN175" s="25"/>
      <c r="DO175" s="25"/>
      <c r="DP175" s="25"/>
      <c r="DQ175" s="25"/>
      <c r="DR175" s="25"/>
      <c r="DS175" s="25"/>
      <c r="DT175" s="25"/>
      <c r="DU175" s="25"/>
      <c r="DV175" s="25"/>
      <c r="DW175" s="25"/>
      <c r="DX175" s="25"/>
      <c r="DY175" s="25"/>
      <c r="DZ175" s="25"/>
      <c r="EA175" s="25"/>
      <c r="EB175" s="25"/>
      <c r="EC175" s="25"/>
      <c r="ED175" s="25"/>
      <c r="EE175" s="25"/>
      <c r="EF175" s="25"/>
      <c r="EG175" s="25"/>
      <c r="EH175" s="25"/>
      <c r="EI175" s="25"/>
      <c r="EJ175" s="25"/>
      <c r="EK175" s="25"/>
      <c r="EL175" s="25"/>
      <c r="EM175" s="25"/>
      <c r="EN175" s="25"/>
      <c r="EO175" s="25"/>
      <c r="EP175" s="25"/>
      <c r="EQ175" s="25"/>
      <c r="ER175" s="25"/>
      <c r="ES175" s="25"/>
      <c r="ET175" s="25"/>
      <c r="EU175" s="25"/>
      <c r="EV175" s="25"/>
      <c r="EW175" s="25"/>
      <c r="EX175" s="25"/>
      <c r="EY175" s="25"/>
      <c r="EZ175" s="25"/>
      <c r="FA175" s="25"/>
      <c r="FB175" s="25"/>
      <c r="FC175" s="25"/>
      <c r="FD175" s="25"/>
      <c r="FE175" s="25"/>
      <c r="FF175" s="25"/>
      <c r="FG175" s="25"/>
      <c r="FH175" s="25"/>
      <c r="FI175" s="25"/>
      <c r="FJ175" s="25"/>
      <c r="FK175" s="25"/>
      <c r="FL175" s="25"/>
      <c r="FM175" s="25"/>
      <c r="FN175" s="25"/>
      <c r="FO175" s="25"/>
      <c r="FP175" s="25"/>
      <c r="FQ175" s="25"/>
      <c r="FR175" s="25"/>
      <c r="FS175" s="25"/>
      <c r="FT175" s="25"/>
      <c r="FU175" s="25"/>
      <c r="FV175" s="25"/>
      <c r="FW175" s="25"/>
      <c r="FX175" s="25"/>
      <c r="FY175" s="25"/>
      <c r="FZ175" s="25"/>
      <c r="GA175" s="25"/>
      <c r="GB175" s="25"/>
      <c r="GC175" s="25"/>
      <c r="GD175" s="25"/>
      <c r="GE175" s="25"/>
      <c r="GF175" s="25"/>
      <c r="GG175" s="25"/>
    </row>
    <row r="176" spans="1:189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/>
      <c r="DB176" s="25"/>
      <c r="DC176" s="25"/>
      <c r="DD176" s="25"/>
      <c r="DE176" s="25"/>
      <c r="DF176" s="25"/>
      <c r="DG176" s="25"/>
      <c r="DH176" s="25"/>
      <c r="DI176" s="25"/>
      <c r="DJ176" s="25"/>
      <c r="DK176" s="25"/>
      <c r="DL176" s="25"/>
      <c r="DM176" s="25"/>
      <c r="DN176" s="25"/>
      <c r="DO176" s="25"/>
      <c r="DP176" s="25"/>
      <c r="DQ176" s="25"/>
      <c r="DR176" s="25"/>
      <c r="DS176" s="25"/>
      <c r="DT176" s="25"/>
      <c r="DU176" s="25"/>
      <c r="DV176" s="25"/>
      <c r="DW176" s="25"/>
      <c r="DX176" s="25"/>
      <c r="DY176" s="25"/>
      <c r="DZ176" s="25"/>
      <c r="EA176" s="25"/>
      <c r="EB176" s="25"/>
      <c r="EC176" s="25"/>
      <c r="ED176" s="25"/>
      <c r="EE176" s="25"/>
      <c r="EF176" s="25"/>
      <c r="EG176" s="25"/>
      <c r="EH176" s="25"/>
      <c r="EI176" s="25"/>
      <c r="EJ176" s="25"/>
      <c r="EK176" s="25"/>
      <c r="EL176" s="25"/>
      <c r="EM176" s="25"/>
      <c r="EN176" s="25"/>
      <c r="EO176" s="25"/>
      <c r="EP176" s="25"/>
      <c r="EQ176" s="25"/>
      <c r="ER176" s="25"/>
      <c r="ES176" s="25"/>
      <c r="ET176" s="25"/>
      <c r="EU176" s="25"/>
      <c r="EV176" s="25"/>
      <c r="EW176" s="25"/>
      <c r="EX176" s="25"/>
      <c r="EY176" s="25"/>
      <c r="EZ176" s="25"/>
      <c r="FA176" s="25"/>
      <c r="FB176" s="25"/>
      <c r="FC176" s="25"/>
      <c r="FD176" s="25"/>
      <c r="FE176" s="25"/>
      <c r="FF176" s="25"/>
      <c r="FG176" s="25"/>
      <c r="FH176" s="25"/>
      <c r="FI176" s="25"/>
      <c r="FJ176" s="25"/>
      <c r="FK176" s="25"/>
      <c r="FL176" s="25"/>
      <c r="FM176" s="25"/>
      <c r="FN176" s="25"/>
      <c r="FO176" s="25"/>
      <c r="FP176" s="25"/>
      <c r="FQ176" s="25"/>
      <c r="FR176" s="25"/>
      <c r="FS176" s="25"/>
      <c r="FT176" s="25"/>
      <c r="FU176" s="25"/>
      <c r="FV176" s="25"/>
      <c r="FW176" s="25"/>
      <c r="FX176" s="25"/>
      <c r="FY176" s="25"/>
      <c r="FZ176" s="25"/>
      <c r="GA176" s="25"/>
      <c r="GB176" s="25"/>
      <c r="GC176" s="25"/>
      <c r="GD176" s="25"/>
      <c r="GE176" s="25"/>
      <c r="GF176" s="25"/>
      <c r="GG176" s="25"/>
    </row>
    <row r="177" spans="1:189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  <c r="DA177" s="25"/>
      <c r="DB177" s="25"/>
      <c r="DC177" s="25"/>
      <c r="DD177" s="25"/>
      <c r="DE177" s="25"/>
      <c r="DF177" s="25"/>
      <c r="DG177" s="25"/>
      <c r="DH177" s="25"/>
      <c r="DI177" s="25"/>
      <c r="DJ177" s="25"/>
      <c r="DK177" s="25"/>
      <c r="DL177" s="25"/>
      <c r="DM177" s="25"/>
      <c r="DN177" s="25"/>
      <c r="DO177" s="25"/>
      <c r="DP177" s="25"/>
      <c r="DQ177" s="25"/>
      <c r="DR177" s="25"/>
      <c r="DS177" s="25"/>
      <c r="DT177" s="25"/>
      <c r="DU177" s="25"/>
      <c r="DV177" s="25"/>
      <c r="DW177" s="25"/>
      <c r="DX177" s="25"/>
      <c r="DY177" s="25"/>
      <c r="DZ177" s="25"/>
      <c r="EA177" s="25"/>
      <c r="EB177" s="25"/>
      <c r="EC177" s="25"/>
      <c r="ED177" s="25"/>
      <c r="EE177" s="25"/>
      <c r="EF177" s="25"/>
      <c r="EG177" s="25"/>
      <c r="EH177" s="25"/>
      <c r="EI177" s="25"/>
      <c r="EJ177" s="25"/>
      <c r="EK177" s="25"/>
      <c r="EL177" s="25"/>
      <c r="EM177" s="25"/>
      <c r="EN177" s="25"/>
      <c r="EO177" s="25"/>
      <c r="EP177" s="25"/>
      <c r="EQ177" s="25"/>
      <c r="ER177" s="25"/>
      <c r="ES177" s="25"/>
      <c r="ET177" s="25"/>
      <c r="EU177" s="25"/>
      <c r="EV177" s="25"/>
      <c r="EW177" s="25"/>
      <c r="EX177" s="25"/>
      <c r="EY177" s="25"/>
      <c r="EZ177" s="25"/>
      <c r="FA177" s="25"/>
      <c r="FB177" s="25"/>
      <c r="FC177" s="25"/>
      <c r="FD177" s="25"/>
      <c r="FE177" s="25"/>
      <c r="FF177" s="25"/>
      <c r="FG177" s="25"/>
      <c r="FH177" s="25"/>
      <c r="FI177" s="25"/>
      <c r="FJ177" s="25"/>
      <c r="FK177" s="25"/>
      <c r="FL177" s="25"/>
      <c r="FM177" s="25"/>
      <c r="FN177" s="25"/>
      <c r="FO177" s="25"/>
      <c r="FP177" s="25"/>
      <c r="FQ177" s="25"/>
      <c r="FR177" s="25"/>
      <c r="FS177" s="25"/>
      <c r="FT177" s="25"/>
      <c r="FU177" s="25"/>
      <c r="FV177" s="25"/>
      <c r="FW177" s="25"/>
      <c r="FX177" s="25"/>
      <c r="FY177" s="25"/>
      <c r="FZ177" s="25"/>
      <c r="GA177" s="25"/>
      <c r="GB177" s="25"/>
      <c r="GC177" s="25"/>
      <c r="GD177" s="25"/>
      <c r="GE177" s="25"/>
      <c r="GF177" s="25"/>
      <c r="GG177" s="25"/>
    </row>
    <row r="178" spans="1:189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  <c r="DA178" s="25"/>
      <c r="DB178" s="25"/>
      <c r="DC178" s="25"/>
      <c r="DD178" s="25"/>
      <c r="DE178" s="25"/>
      <c r="DF178" s="25"/>
      <c r="DG178" s="25"/>
      <c r="DH178" s="25"/>
      <c r="DI178" s="25"/>
      <c r="DJ178" s="25"/>
      <c r="DK178" s="25"/>
      <c r="DL178" s="25"/>
      <c r="DM178" s="25"/>
      <c r="DN178" s="25"/>
      <c r="DO178" s="25"/>
      <c r="DP178" s="25"/>
      <c r="DQ178" s="25"/>
      <c r="DR178" s="25"/>
      <c r="DS178" s="25"/>
      <c r="DT178" s="25"/>
      <c r="DU178" s="25"/>
      <c r="DV178" s="25"/>
      <c r="DW178" s="25"/>
      <c r="DX178" s="25"/>
      <c r="DY178" s="25"/>
      <c r="DZ178" s="25"/>
      <c r="EA178" s="25"/>
      <c r="EB178" s="25"/>
      <c r="EC178" s="25"/>
      <c r="ED178" s="25"/>
      <c r="EE178" s="25"/>
      <c r="EF178" s="25"/>
      <c r="EG178" s="25"/>
      <c r="EH178" s="25"/>
      <c r="EI178" s="25"/>
      <c r="EJ178" s="25"/>
      <c r="EK178" s="25"/>
      <c r="EL178" s="25"/>
      <c r="EM178" s="25"/>
      <c r="EN178" s="25"/>
      <c r="EO178" s="25"/>
      <c r="EP178" s="25"/>
      <c r="EQ178" s="25"/>
      <c r="ER178" s="25"/>
      <c r="ES178" s="25"/>
      <c r="ET178" s="25"/>
      <c r="EU178" s="25"/>
      <c r="EV178" s="25"/>
      <c r="EW178" s="25"/>
      <c r="EX178" s="25"/>
      <c r="EY178" s="25"/>
      <c r="EZ178" s="25"/>
      <c r="FA178" s="25"/>
      <c r="FB178" s="25"/>
      <c r="FC178" s="25"/>
      <c r="FD178" s="25"/>
      <c r="FE178" s="25"/>
      <c r="FF178" s="25"/>
      <c r="FG178" s="25"/>
      <c r="FH178" s="25"/>
      <c r="FI178" s="25"/>
      <c r="FJ178" s="25"/>
      <c r="FK178" s="25"/>
      <c r="FL178" s="25"/>
      <c r="FM178" s="25"/>
      <c r="FN178" s="25"/>
      <c r="FO178" s="25"/>
      <c r="FP178" s="25"/>
      <c r="FQ178" s="25"/>
      <c r="FR178" s="25"/>
      <c r="FS178" s="25"/>
      <c r="FT178" s="25"/>
      <c r="FU178" s="25"/>
      <c r="FV178" s="25"/>
      <c r="FW178" s="25"/>
      <c r="FX178" s="25"/>
      <c r="FY178" s="25"/>
      <c r="FZ178" s="25"/>
      <c r="GA178" s="25"/>
      <c r="GB178" s="25"/>
      <c r="GC178" s="25"/>
      <c r="GD178" s="25"/>
      <c r="GE178" s="25"/>
      <c r="GF178" s="25"/>
      <c r="GG178" s="25"/>
    </row>
    <row r="179" spans="1:189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  <c r="DA179" s="25"/>
      <c r="DB179" s="25"/>
      <c r="DC179" s="25"/>
      <c r="DD179" s="25"/>
      <c r="DE179" s="25"/>
      <c r="DF179" s="25"/>
      <c r="DG179" s="25"/>
      <c r="DH179" s="25"/>
      <c r="DI179" s="25"/>
      <c r="DJ179" s="25"/>
      <c r="DK179" s="25"/>
      <c r="DL179" s="25"/>
      <c r="DM179" s="25"/>
      <c r="DN179" s="25"/>
      <c r="DO179" s="25"/>
      <c r="DP179" s="25"/>
      <c r="DQ179" s="25"/>
      <c r="DR179" s="25"/>
      <c r="DS179" s="25"/>
      <c r="DT179" s="25"/>
      <c r="DU179" s="25"/>
      <c r="DV179" s="25"/>
      <c r="DW179" s="25"/>
      <c r="DX179" s="25"/>
      <c r="DY179" s="25"/>
      <c r="DZ179" s="25"/>
      <c r="EA179" s="25"/>
      <c r="EB179" s="25"/>
      <c r="EC179" s="25"/>
      <c r="ED179" s="25"/>
      <c r="EE179" s="25"/>
      <c r="EF179" s="25"/>
      <c r="EG179" s="25"/>
      <c r="EH179" s="25"/>
      <c r="EI179" s="25"/>
      <c r="EJ179" s="25"/>
      <c r="EK179" s="25"/>
      <c r="EL179" s="25"/>
      <c r="EM179" s="25"/>
      <c r="EN179" s="25"/>
      <c r="EO179" s="25"/>
      <c r="EP179" s="25"/>
      <c r="EQ179" s="25"/>
      <c r="ER179" s="25"/>
      <c r="ES179" s="25"/>
      <c r="ET179" s="25"/>
      <c r="EU179" s="25"/>
      <c r="EV179" s="25"/>
      <c r="EW179" s="25"/>
      <c r="EX179" s="25"/>
      <c r="EY179" s="25"/>
      <c r="EZ179" s="25"/>
      <c r="FA179" s="25"/>
      <c r="FB179" s="25"/>
      <c r="FC179" s="25"/>
      <c r="FD179" s="25"/>
      <c r="FE179" s="25"/>
      <c r="FF179" s="25"/>
      <c r="FG179" s="25"/>
      <c r="FH179" s="25"/>
      <c r="FI179" s="25"/>
      <c r="FJ179" s="25"/>
      <c r="FK179" s="25"/>
      <c r="FL179" s="25"/>
      <c r="FM179" s="25"/>
      <c r="FN179" s="25"/>
      <c r="FO179" s="25"/>
      <c r="FP179" s="25"/>
      <c r="FQ179" s="25"/>
      <c r="FR179" s="25"/>
      <c r="FS179" s="25"/>
      <c r="FT179" s="25"/>
      <c r="FU179" s="25"/>
      <c r="FV179" s="25"/>
      <c r="FW179" s="25"/>
      <c r="FX179" s="25"/>
      <c r="FY179" s="25"/>
      <c r="FZ179" s="25"/>
      <c r="GA179" s="25"/>
      <c r="GB179" s="25"/>
      <c r="GC179" s="25"/>
      <c r="GD179" s="25"/>
      <c r="GE179" s="25"/>
      <c r="GF179" s="25"/>
      <c r="GG179" s="25"/>
    </row>
    <row r="180" spans="1:189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/>
      <c r="DD180" s="25"/>
      <c r="DE180" s="25"/>
      <c r="DF180" s="25"/>
      <c r="DG180" s="25"/>
      <c r="DH180" s="25"/>
      <c r="DI180" s="25"/>
      <c r="DJ180" s="25"/>
      <c r="DK180" s="25"/>
      <c r="DL180" s="25"/>
      <c r="DM180" s="25"/>
      <c r="DN180" s="25"/>
      <c r="DO180" s="25"/>
      <c r="DP180" s="25"/>
      <c r="DQ180" s="25"/>
      <c r="DR180" s="25"/>
      <c r="DS180" s="25"/>
      <c r="DT180" s="25"/>
      <c r="DU180" s="25"/>
      <c r="DV180" s="25"/>
      <c r="DW180" s="25"/>
      <c r="DX180" s="25"/>
      <c r="DY180" s="25"/>
      <c r="DZ180" s="25"/>
      <c r="EA180" s="25"/>
      <c r="EB180" s="25"/>
      <c r="EC180" s="25"/>
      <c r="ED180" s="25"/>
      <c r="EE180" s="25"/>
      <c r="EF180" s="25"/>
      <c r="EG180" s="25"/>
      <c r="EH180" s="25"/>
      <c r="EI180" s="25"/>
      <c r="EJ180" s="25"/>
      <c r="EK180" s="25"/>
      <c r="EL180" s="25"/>
      <c r="EM180" s="25"/>
      <c r="EN180" s="25"/>
      <c r="EO180" s="25"/>
      <c r="EP180" s="25"/>
      <c r="EQ180" s="25"/>
      <c r="ER180" s="25"/>
      <c r="ES180" s="25"/>
      <c r="ET180" s="25"/>
      <c r="EU180" s="25"/>
      <c r="EV180" s="25"/>
      <c r="EW180" s="25"/>
      <c r="EX180" s="25"/>
      <c r="EY180" s="25"/>
      <c r="EZ180" s="25"/>
      <c r="FA180" s="25"/>
      <c r="FB180" s="25"/>
      <c r="FC180" s="25"/>
      <c r="FD180" s="25"/>
      <c r="FE180" s="25"/>
      <c r="FF180" s="25"/>
      <c r="FG180" s="25"/>
      <c r="FH180" s="25"/>
      <c r="FI180" s="25"/>
      <c r="FJ180" s="25"/>
      <c r="FK180" s="25"/>
      <c r="FL180" s="25"/>
      <c r="FM180" s="25"/>
      <c r="FN180" s="25"/>
      <c r="FO180" s="25"/>
      <c r="FP180" s="25"/>
      <c r="FQ180" s="25"/>
      <c r="FR180" s="25"/>
      <c r="FS180" s="25"/>
      <c r="FT180" s="25"/>
      <c r="FU180" s="25"/>
      <c r="FV180" s="25"/>
      <c r="FW180" s="25"/>
      <c r="FX180" s="25"/>
      <c r="FY180" s="25"/>
      <c r="FZ180" s="25"/>
      <c r="GA180" s="25"/>
      <c r="GB180" s="25"/>
      <c r="GC180" s="25"/>
      <c r="GD180" s="25"/>
      <c r="GE180" s="25"/>
      <c r="GF180" s="25"/>
      <c r="GG180" s="25"/>
    </row>
    <row r="181" spans="1:189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  <c r="DA181" s="25"/>
      <c r="DB181" s="25"/>
      <c r="DC181" s="25"/>
      <c r="DD181" s="25"/>
      <c r="DE181" s="25"/>
      <c r="DF181" s="25"/>
      <c r="DG181" s="25"/>
      <c r="DH181" s="25"/>
      <c r="DI181" s="25"/>
      <c r="DJ181" s="25"/>
      <c r="DK181" s="25"/>
      <c r="DL181" s="25"/>
      <c r="DM181" s="25"/>
      <c r="DN181" s="25"/>
      <c r="DO181" s="25"/>
      <c r="DP181" s="25"/>
      <c r="DQ181" s="25"/>
      <c r="DR181" s="25"/>
      <c r="DS181" s="25"/>
      <c r="DT181" s="25"/>
      <c r="DU181" s="25"/>
      <c r="DV181" s="25"/>
      <c r="DW181" s="25"/>
      <c r="DX181" s="25"/>
      <c r="DY181" s="25"/>
      <c r="DZ181" s="25"/>
      <c r="EA181" s="25"/>
      <c r="EB181" s="25"/>
      <c r="EC181" s="25"/>
      <c r="ED181" s="25"/>
      <c r="EE181" s="25"/>
      <c r="EF181" s="25"/>
      <c r="EG181" s="25"/>
      <c r="EH181" s="25"/>
      <c r="EI181" s="25"/>
      <c r="EJ181" s="25"/>
      <c r="EK181" s="25"/>
      <c r="EL181" s="25"/>
      <c r="EM181" s="25"/>
      <c r="EN181" s="25"/>
      <c r="EO181" s="25"/>
      <c r="EP181" s="25"/>
      <c r="EQ181" s="25"/>
      <c r="ER181" s="25"/>
      <c r="ES181" s="25"/>
      <c r="ET181" s="25"/>
      <c r="EU181" s="25"/>
      <c r="EV181" s="25"/>
      <c r="EW181" s="25"/>
      <c r="EX181" s="25"/>
      <c r="EY181" s="25"/>
      <c r="EZ181" s="25"/>
      <c r="FA181" s="25"/>
      <c r="FB181" s="25"/>
      <c r="FC181" s="25"/>
      <c r="FD181" s="25"/>
      <c r="FE181" s="25"/>
      <c r="FF181" s="25"/>
      <c r="FG181" s="25"/>
      <c r="FH181" s="25"/>
      <c r="FI181" s="25"/>
      <c r="FJ181" s="25"/>
      <c r="FK181" s="25"/>
      <c r="FL181" s="25"/>
      <c r="FM181" s="25"/>
      <c r="FN181" s="25"/>
      <c r="FO181" s="25"/>
      <c r="FP181" s="25"/>
      <c r="FQ181" s="25"/>
      <c r="FR181" s="25"/>
      <c r="FS181" s="25"/>
      <c r="FT181" s="25"/>
      <c r="FU181" s="25"/>
      <c r="FV181" s="25"/>
      <c r="FW181" s="25"/>
      <c r="FX181" s="25"/>
      <c r="FY181" s="25"/>
      <c r="FZ181" s="25"/>
      <c r="GA181" s="25"/>
      <c r="GB181" s="25"/>
      <c r="GC181" s="25"/>
      <c r="GD181" s="25"/>
      <c r="GE181" s="25"/>
      <c r="GF181" s="25"/>
      <c r="GG181" s="25"/>
    </row>
    <row r="182" spans="1:189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  <c r="CZ182" s="25"/>
      <c r="DA182" s="25"/>
      <c r="DB182" s="25"/>
      <c r="DC182" s="25"/>
      <c r="DD182" s="25"/>
      <c r="DE182" s="25"/>
      <c r="DF182" s="25"/>
      <c r="DG182" s="25"/>
      <c r="DH182" s="25"/>
      <c r="DI182" s="25"/>
      <c r="DJ182" s="25"/>
      <c r="DK182" s="25"/>
      <c r="DL182" s="25"/>
      <c r="DM182" s="25"/>
      <c r="DN182" s="25"/>
      <c r="DO182" s="25"/>
      <c r="DP182" s="25"/>
      <c r="DQ182" s="25"/>
      <c r="DR182" s="25"/>
      <c r="DS182" s="25"/>
      <c r="DT182" s="25"/>
      <c r="DU182" s="25"/>
      <c r="DV182" s="25"/>
      <c r="DW182" s="25"/>
      <c r="DX182" s="25"/>
      <c r="DY182" s="25"/>
      <c r="DZ182" s="25"/>
      <c r="EA182" s="25"/>
      <c r="EB182" s="25"/>
      <c r="EC182" s="25"/>
      <c r="ED182" s="25"/>
      <c r="EE182" s="25"/>
      <c r="EF182" s="25"/>
      <c r="EG182" s="25"/>
      <c r="EH182" s="25"/>
      <c r="EI182" s="25"/>
      <c r="EJ182" s="25"/>
      <c r="EK182" s="25"/>
      <c r="EL182" s="25"/>
      <c r="EM182" s="25"/>
      <c r="EN182" s="25"/>
      <c r="EO182" s="25"/>
      <c r="EP182" s="25"/>
      <c r="EQ182" s="25"/>
      <c r="ER182" s="25"/>
      <c r="ES182" s="25"/>
      <c r="ET182" s="25"/>
      <c r="EU182" s="25"/>
      <c r="EV182" s="25"/>
      <c r="EW182" s="25"/>
      <c r="EX182" s="25"/>
      <c r="EY182" s="25"/>
      <c r="EZ182" s="25"/>
      <c r="FA182" s="25"/>
      <c r="FB182" s="25"/>
      <c r="FC182" s="25"/>
      <c r="FD182" s="25"/>
      <c r="FE182" s="25"/>
      <c r="FF182" s="25"/>
      <c r="FG182" s="25"/>
      <c r="FH182" s="25"/>
      <c r="FI182" s="25"/>
      <c r="FJ182" s="25"/>
      <c r="FK182" s="25"/>
      <c r="FL182" s="25"/>
      <c r="FM182" s="25"/>
      <c r="FN182" s="25"/>
      <c r="FO182" s="25"/>
      <c r="FP182" s="25"/>
      <c r="FQ182" s="25"/>
      <c r="FR182" s="25"/>
      <c r="FS182" s="25"/>
      <c r="FT182" s="25"/>
      <c r="FU182" s="25"/>
      <c r="FV182" s="25"/>
      <c r="FW182" s="25"/>
      <c r="FX182" s="25"/>
      <c r="FY182" s="25"/>
      <c r="FZ182" s="25"/>
      <c r="GA182" s="25"/>
      <c r="GB182" s="25"/>
      <c r="GC182" s="25"/>
      <c r="GD182" s="25"/>
      <c r="GE182" s="25"/>
      <c r="GF182" s="25"/>
      <c r="GG182" s="25"/>
    </row>
    <row r="183" spans="1:189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  <c r="DA183" s="25"/>
      <c r="DB183" s="25"/>
      <c r="DC183" s="25"/>
      <c r="DD183" s="25"/>
      <c r="DE183" s="25"/>
      <c r="DF183" s="25"/>
      <c r="DG183" s="25"/>
      <c r="DH183" s="25"/>
      <c r="DI183" s="25"/>
      <c r="DJ183" s="25"/>
      <c r="DK183" s="25"/>
      <c r="DL183" s="25"/>
      <c r="DM183" s="25"/>
      <c r="DN183" s="25"/>
      <c r="DO183" s="25"/>
      <c r="DP183" s="25"/>
      <c r="DQ183" s="25"/>
      <c r="DR183" s="25"/>
      <c r="DS183" s="25"/>
      <c r="DT183" s="25"/>
      <c r="DU183" s="25"/>
      <c r="DV183" s="25"/>
      <c r="DW183" s="25"/>
      <c r="DX183" s="25"/>
      <c r="DY183" s="25"/>
      <c r="DZ183" s="25"/>
      <c r="EA183" s="25"/>
      <c r="EB183" s="25"/>
      <c r="EC183" s="25"/>
      <c r="ED183" s="25"/>
      <c r="EE183" s="25"/>
      <c r="EF183" s="25"/>
      <c r="EG183" s="25"/>
      <c r="EH183" s="25"/>
      <c r="EI183" s="25"/>
      <c r="EJ183" s="25"/>
      <c r="EK183" s="25"/>
      <c r="EL183" s="25"/>
      <c r="EM183" s="25"/>
      <c r="EN183" s="25"/>
      <c r="EO183" s="25"/>
      <c r="EP183" s="25"/>
      <c r="EQ183" s="25"/>
      <c r="ER183" s="25"/>
      <c r="ES183" s="25"/>
      <c r="ET183" s="25"/>
      <c r="EU183" s="25"/>
      <c r="EV183" s="25"/>
      <c r="EW183" s="25"/>
      <c r="EX183" s="25"/>
      <c r="EY183" s="25"/>
      <c r="EZ183" s="25"/>
      <c r="FA183" s="25"/>
      <c r="FB183" s="25"/>
      <c r="FC183" s="25"/>
      <c r="FD183" s="25"/>
      <c r="FE183" s="25"/>
      <c r="FF183" s="25"/>
      <c r="FG183" s="25"/>
      <c r="FH183" s="25"/>
      <c r="FI183" s="25"/>
      <c r="FJ183" s="25"/>
      <c r="FK183" s="25"/>
      <c r="FL183" s="25"/>
      <c r="FM183" s="25"/>
      <c r="FN183" s="25"/>
      <c r="FO183" s="25"/>
      <c r="FP183" s="25"/>
      <c r="FQ183" s="25"/>
      <c r="FR183" s="25"/>
      <c r="FS183" s="25"/>
      <c r="FT183" s="25"/>
      <c r="FU183" s="25"/>
      <c r="FV183" s="25"/>
      <c r="FW183" s="25"/>
      <c r="FX183" s="25"/>
      <c r="FY183" s="25"/>
      <c r="FZ183" s="25"/>
      <c r="GA183" s="25"/>
      <c r="GB183" s="25"/>
      <c r="GC183" s="25"/>
      <c r="GD183" s="25"/>
      <c r="GE183" s="25"/>
      <c r="GF183" s="25"/>
      <c r="GG183" s="25"/>
    </row>
    <row r="184" spans="1:189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  <c r="DA184" s="25"/>
      <c r="DB184" s="25"/>
      <c r="DC184" s="25"/>
      <c r="DD184" s="25"/>
      <c r="DE184" s="25"/>
      <c r="DF184" s="25"/>
      <c r="DG184" s="25"/>
      <c r="DH184" s="25"/>
      <c r="DI184" s="25"/>
      <c r="DJ184" s="25"/>
      <c r="DK184" s="25"/>
      <c r="DL184" s="25"/>
      <c r="DM184" s="25"/>
      <c r="DN184" s="25"/>
      <c r="DO184" s="25"/>
      <c r="DP184" s="25"/>
      <c r="DQ184" s="25"/>
      <c r="DR184" s="25"/>
      <c r="DS184" s="25"/>
      <c r="DT184" s="25"/>
      <c r="DU184" s="25"/>
      <c r="DV184" s="25"/>
      <c r="DW184" s="25"/>
      <c r="DX184" s="25"/>
      <c r="DY184" s="25"/>
      <c r="DZ184" s="25"/>
      <c r="EA184" s="25"/>
      <c r="EB184" s="25"/>
      <c r="EC184" s="25"/>
      <c r="ED184" s="25"/>
      <c r="EE184" s="25"/>
      <c r="EF184" s="25"/>
      <c r="EG184" s="25"/>
      <c r="EH184" s="25"/>
      <c r="EI184" s="25"/>
      <c r="EJ184" s="25"/>
      <c r="EK184" s="25"/>
      <c r="EL184" s="25"/>
      <c r="EM184" s="25"/>
      <c r="EN184" s="25"/>
      <c r="EO184" s="25"/>
      <c r="EP184" s="25"/>
      <c r="EQ184" s="25"/>
      <c r="ER184" s="25"/>
      <c r="ES184" s="25"/>
      <c r="ET184" s="25"/>
      <c r="EU184" s="25"/>
      <c r="EV184" s="25"/>
      <c r="EW184" s="25"/>
      <c r="EX184" s="25"/>
      <c r="EY184" s="25"/>
      <c r="EZ184" s="25"/>
      <c r="FA184" s="25"/>
      <c r="FB184" s="25"/>
      <c r="FC184" s="25"/>
      <c r="FD184" s="25"/>
      <c r="FE184" s="25"/>
      <c r="FF184" s="25"/>
      <c r="FG184" s="25"/>
      <c r="FH184" s="25"/>
      <c r="FI184" s="25"/>
      <c r="FJ184" s="25"/>
      <c r="FK184" s="25"/>
      <c r="FL184" s="25"/>
      <c r="FM184" s="25"/>
      <c r="FN184" s="25"/>
      <c r="FO184" s="25"/>
      <c r="FP184" s="25"/>
      <c r="FQ184" s="25"/>
      <c r="FR184" s="25"/>
      <c r="FS184" s="25"/>
      <c r="FT184" s="25"/>
      <c r="FU184" s="25"/>
      <c r="FV184" s="25"/>
      <c r="FW184" s="25"/>
      <c r="FX184" s="25"/>
      <c r="FY184" s="25"/>
      <c r="FZ184" s="25"/>
      <c r="GA184" s="25"/>
      <c r="GB184" s="25"/>
      <c r="GC184" s="25"/>
      <c r="GD184" s="25"/>
      <c r="GE184" s="25"/>
      <c r="GF184" s="25"/>
      <c r="GG184" s="25"/>
    </row>
    <row r="185" spans="1:189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  <c r="DA185" s="25"/>
      <c r="DB185" s="25"/>
      <c r="DC185" s="25"/>
      <c r="DD185" s="25"/>
      <c r="DE185" s="25"/>
      <c r="DF185" s="25"/>
      <c r="DG185" s="25"/>
      <c r="DH185" s="25"/>
      <c r="DI185" s="25"/>
      <c r="DJ185" s="25"/>
      <c r="DK185" s="25"/>
      <c r="DL185" s="25"/>
      <c r="DM185" s="25"/>
      <c r="DN185" s="25"/>
      <c r="DO185" s="25"/>
      <c r="DP185" s="25"/>
      <c r="DQ185" s="25"/>
      <c r="DR185" s="25"/>
      <c r="DS185" s="25"/>
      <c r="DT185" s="25"/>
      <c r="DU185" s="25"/>
      <c r="DV185" s="25"/>
      <c r="DW185" s="25"/>
      <c r="DX185" s="25"/>
      <c r="DY185" s="25"/>
      <c r="DZ185" s="25"/>
      <c r="EA185" s="25"/>
      <c r="EB185" s="25"/>
      <c r="EC185" s="25"/>
      <c r="ED185" s="25"/>
      <c r="EE185" s="25"/>
      <c r="EF185" s="25"/>
      <c r="EG185" s="25"/>
      <c r="EH185" s="25"/>
      <c r="EI185" s="25"/>
      <c r="EJ185" s="25"/>
      <c r="EK185" s="25"/>
      <c r="EL185" s="25"/>
      <c r="EM185" s="25"/>
      <c r="EN185" s="25"/>
      <c r="EO185" s="25"/>
      <c r="EP185" s="25"/>
      <c r="EQ185" s="25"/>
      <c r="ER185" s="25"/>
      <c r="ES185" s="25"/>
      <c r="ET185" s="25"/>
      <c r="EU185" s="25"/>
      <c r="EV185" s="25"/>
      <c r="EW185" s="25"/>
      <c r="EX185" s="25"/>
      <c r="EY185" s="25"/>
      <c r="EZ185" s="25"/>
      <c r="FA185" s="25"/>
      <c r="FB185" s="25"/>
      <c r="FC185" s="25"/>
      <c r="FD185" s="25"/>
      <c r="FE185" s="25"/>
      <c r="FF185" s="25"/>
      <c r="FG185" s="25"/>
      <c r="FH185" s="25"/>
      <c r="FI185" s="25"/>
      <c r="FJ185" s="25"/>
      <c r="FK185" s="25"/>
      <c r="FL185" s="25"/>
      <c r="FM185" s="25"/>
      <c r="FN185" s="25"/>
      <c r="FO185" s="25"/>
      <c r="FP185" s="25"/>
      <c r="FQ185" s="25"/>
      <c r="FR185" s="25"/>
      <c r="FS185" s="25"/>
      <c r="FT185" s="25"/>
      <c r="FU185" s="25"/>
      <c r="FV185" s="25"/>
      <c r="FW185" s="25"/>
      <c r="FX185" s="25"/>
      <c r="FY185" s="25"/>
      <c r="FZ185" s="25"/>
      <c r="GA185" s="25"/>
      <c r="GB185" s="25"/>
      <c r="GC185" s="25"/>
      <c r="GD185" s="25"/>
      <c r="GE185" s="25"/>
      <c r="GF185" s="25"/>
      <c r="GG185" s="25"/>
    </row>
    <row r="186" spans="1:189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/>
      <c r="DD186" s="25"/>
      <c r="DE186" s="25"/>
      <c r="DF186" s="25"/>
      <c r="DG186" s="25"/>
      <c r="DH186" s="25"/>
      <c r="DI186" s="25"/>
      <c r="DJ186" s="25"/>
      <c r="DK186" s="25"/>
      <c r="DL186" s="25"/>
      <c r="DM186" s="25"/>
      <c r="DN186" s="25"/>
      <c r="DO186" s="25"/>
      <c r="DP186" s="25"/>
      <c r="DQ186" s="25"/>
      <c r="DR186" s="25"/>
      <c r="DS186" s="25"/>
      <c r="DT186" s="25"/>
      <c r="DU186" s="25"/>
      <c r="DV186" s="25"/>
      <c r="DW186" s="25"/>
      <c r="DX186" s="25"/>
      <c r="DY186" s="25"/>
      <c r="DZ186" s="25"/>
      <c r="EA186" s="25"/>
      <c r="EB186" s="25"/>
      <c r="EC186" s="25"/>
      <c r="ED186" s="25"/>
      <c r="EE186" s="25"/>
      <c r="EF186" s="25"/>
      <c r="EG186" s="25"/>
      <c r="EH186" s="25"/>
      <c r="EI186" s="25"/>
      <c r="EJ186" s="25"/>
      <c r="EK186" s="25"/>
      <c r="EL186" s="25"/>
      <c r="EM186" s="25"/>
      <c r="EN186" s="25"/>
      <c r="EO186" s="25"/>
      <c r="EP186" s="25"/>
      <c r="EQ186" s="25"/>
      <c r="ER186" s="25"/>
      <c r="ES186" s="25"/>
      <c r="ET186" s="25"/>
      <c r="EU186" s="25"/>
      <c r="EV186" s="25"/>
      <c r="EW186" s="25"/>
      <c r="EX186" s="25"/>
      <c r="EY186" s="25"/>
      <c r="EZ186" s="25"/>
      <c r="FA186" s="25"/>
      <c r="FB186" s="25"/>
      <c r="FC186" s="25"/>
      <c r="FD186" s="25"/>
      <c r="FE186" s="25"/>
      <c r="FF186" s="25"/>
      <c r="FG186" s="25"/>
      <c r="FH186" s="25"/>
      <c r="FI186" s="25"/>
      <c r="FJ186" s="25"/>
      <c r="FK186" s="25"/>
      <c r="FL186" s="25"/>
      <c r="FM186" s="25"/>
      <c r="FN186" s="25"/>
      <c r="FO186" s="25"/>
      <c r="FP186" s="25"/>
      <c r="FQ186" s="25"/>
      <c r="FR186" s="25"/>
      <c r="FS186" s="25"/>
      <c r="FT186" s="25"/>
      <c r="FU186" s="25"/>
      <c r="FV186" s="25"/>
      <c r="FW186" s="25"/>
      <c r="FX186" s="25"/>
      <c r="FY186" s="25"/>
      <c r="FZ186" s="25"/>
      <c r="GA186" s="25"/>
      <c r="GB186" s="25"/>
      <c r="GC186" s="25"/>
      <c r="GD186" s="25"/>
      <c r="GE186" s="25"/>
      <c r="GF186" s="25"/>
      <c r="GG186" s="25"/>
    </row>
    <row r="187" spans="1:189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  <c r="CZ187" s="25"/>
      <c r="DA187" s="25"/>
      <c r="DB187" s="25"/>
      <c r="DC187" s="25"/>
      <c r="DD187" s="25"/>
      <c r="DE187" s="25"/>
      <c r="DF187" s="25"/>
      <c r="DG187" s="25"/>
      <c r="DH187" s="25"/>
      <c r="DI187" s="25"/>
      <c r="DJ187" s="25"/>
      <c r="DK187" s="25"/>
      <c r="DL187" s="25"/>
      <c r="DM187" s="25"/>
      <c r="DN187" s="25"/>
      <c r="DO187" s="25"/>
      <c r="DP187" s="25"/>
      <c r="DQ187" s="25"/>
      <c r="DR187" s="25"/>
      <c r="DS187" s="25"/>
      <c r="DT187" s="25"/>
      <c r="DU187" s="25"/>
      <c r="DV187" s="25"/>
      <c r="DW187" s="25"/>
      <c r="DX187" s="25"/>
      <c r="DY187" s="25"/>
      <c r="DZ187" s="25"/>
      <c r="EA187" s="25"/>
      <c r="EB187" s="25"/>
      <c r="EC187" s="25"/>
      <c r="ED187" s="25"/>
      <c r="EE187" s="25"/>
      <c r="EF187" s="25"/>
      <c r="EG187" s="25"/>
      <c r="EH187" s="25"/>
      <c r="EI187" s="25"/>
      <c r="EJ187" s="25"/>
      <c r="EK187" s="25"/>
      <c r="EL187" s="25"/>
      <c r="EM187" s="25"/>
      <c r="EN187" s="25"/>
      <c r="EO187" s="25"/>
      <c r="EP187" s="25"/>
      <c r="EQ187" s="25"/>
      <c r="ER187" s="25"/>
      <c r="ES187" s="25"/>
      <c r="ET187" s="25"/>
      <c r="EU187" s="25"/>
      <c r="EV187" s="25"/>
      <c r="EW187" s="25"/>
      <c r="EX187" s="25"/>
      <c r="EY187" s="25"/>
      <c r="EZ187" s="25"/>
      <c r="FA187" s="25"/>
      <c r="FB187" s="25"/>
      <c r="FC187" s="25"/>
      <c r="FD187" s="25"/>
      <c r="FE187" s="25"/>
      <c r="FF187" s="25"/>
      <c r="FG187" s="25"/>
      <c r="FH187" s="25"/>
      <c r="FI187" s="25"/>
      <c r="FJ187" s="25"/>
      <c r="FK187" s="25"/>
      <c r="FL187" s="25"/>
      <c r="FM187" s="25"/>
      <c r="FN187" s="25"/>
      <c r="FO187" s="25"/>
      <c r="FP187" s="25"/>
      <c r="FQ187" s="25"/>
      <c r="FR187" s="25"/>
      <c r="FS187" s="25"/>
      <c r="FT187" s="25"/>
      <c r="FU187" s="25"/>
      <c r="FV187" s="25"/>
      <c r="FW187" s="25"/>
      <c r="FX187" s="25"/>
      <c r="FY187" s="25"/>
      <c r="FZ187" s="25"/>
      <c r="GA187" s="25"/>
      <c r="GB187" s="25"/>
      <c r="GC187" s="25"/>
      <c r="GD187" s="25"/>
      <c r="GE187" s="25"/>
      <c r="GF187" s="25"/>
      <c r="GG187" s="25"/>
    </row>
    <row r="188" spans="1:189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  <c r="DA188" s="25"/>
      <c r="DB188" s="25"/>
      <c r="DC188" s="25"/>
      <c r="DD188" s="25"/>
      <c r="DE188" s="25"/>
      <c r="DF188" s="25"/>
      <c r="DG188" s="25"/>
      <c r="DH188" s="25"/>
      <c r="DI188" s="25"/>
      <c r="DJ188" s="25"/>
      <c r="DK188" s="25"/>
      <c r="DL188" s="25"/>
      <c r="DM188" s="25"/>
      <c r="DN188" s="25"/>
      <c r="DO188" s="25"/>
      <c r="DP188" s="25"/>
      <c r="DQ188" s="25"/>
      <c r="DR188" s="25"/>
      <c r="DS188" s="25"/>
      <c r="DT188" s="25"/>
      <c r="DU188" s="25"/>
      <c r="DV188" s="25"/>
      <c r="DW188" s="25"/>
      <c r="DX188" s="25"/>
      <c r="DY188" s="25"/>
      <c r="DZ188" s="25"/>
      <c r="EA188" s="25"/>
      <c r="EB188" s="25"/>
      <c r="EC188" s="25"/>
      <c r="ED188" s="25"/>
      <c r="EE188" s="25"/>
      <c r="EF188" s="25"/>
      <c r="EG188" s="25"/>
      <c r="EH188" s="25"/>
      <c r="EI188" s="25"/>
      <c r="EJ188" s="25"/>
      <c r="EK188" s="25"/>
      <c r="EL188" s="25"/>
      <c r="EM188" s="25"/>
      <c r="EN188" s="25"/>
      <c r="EO188" s="25"/>
      <c r="EP188" s="25"/>
      <c r="EQ188" s="25"/>
      <c r="ER188" s="25"/>
      <c r="ES188" s="25"/>
      <c r="ET188" s="25"/>
      <c r="EU188" s="25"/>
      <c r="EV188" s="25"/>
      <c r="EW188" s="25"/>
      <c r="EX188" s="25"/>
      <c r="EY188" s="25"/>
      <c r="EZ188" s="25"/>
      <c r="FA188" s="25"/>
      <c r="FB188" s="25"/>
      <c r="FC188" s="25"/>
      <c r="FD188" s="25"/>
      <c r="FE188" s="25"/>
      <c r="FF188" s="25"/>
      <c r="FG188" s="25"/>
      <c r="FH188" s="25"/>
      <c r="FI188" s="25"/>
      <c r="FJ188" s="25"/>
      <c r="FK188" s="25"/>
      <c r="FL188" s="25"/>
      <c r="FM188" s="25"/>
      <c r="FN188" s="25"/>
      <c r="FO188" s="25"/>
      <c r="FP188" s="25"/>
      <c r="FQ188" s="25"/>
      <c r="FR188" s="25"/>
      <c r="FS188" s="25"/>
      <c r="FT188" s="25"/>
      <c r="FU188" s="25"/>
      <c r="FV188" s="25"/>
      <c r="FW188" s="25"/>
      <c r="FX188" s="25"/>
      <c r="FY188" s="25"/>
      <c r="FZ188" s="25"/>
      <c r="GA188" s="25"/>
      <c r="GB188" s="25"/>
      <c r="GC188" s="25"/>
      <c r="GD188" s="25"/>
      <c r="GE188" s="25"/>
      <c r="GF188" s="25"/>
      <c r="GG188" s="25"/>
    </row>
    <row r="189" spans="1:189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  <c r="DA189" s="25"/>
      <c r="DB189" s="25"/>
      <c r="DC189" s="25"/>
      <c r="DD189" s="25"/>
      <c r="DE189" s="25"/>
      <c r="DF189" s="25"/>
      <c r="DG189" s="25"/>
      <c r="DH189" s="25"/>
      <c r="DI189" s="25"/>
      <c r="DJ189" s="25"/>
      <c r="DK189" s="25"/>
      <c r="DL189" s="25"/>
      <c r="DM189" s="25"/>
      <c r="DN189" s="25"/>
      <c r="DO189" s="25"/>
      <c r="DP189" s="25"/>
      <c r="DQ189" s="25"/>
      <c r="DR189" s="25"/>
      <c r="DS189" s="25"/>
      <c r="DT189" s="25"/>
      <c r="DU189" s="25"/>
      <c r="DV189" s="25"/>
      <c r="DW189" s="25"/>
      <c r="DX189" s="25"/>
      <c r="DY189" s="25"/>
      <c r="DZ189" s="25"/>
      <c r="EA189" s="25"/>
      <c r="EB189" s="25"/>
      <c r="EC189" s="25"/>
      <c r="ED189" s="25"/>
      <c r="EE189" s="25"/>
      <c r="EF189" s="25"/>
      <c r="EG189" s="25"/>
      <c r="EH189" s="25"/>
      <c r="EI189" s="25"/>
      <c r="EJ189" s="25"/>
      <c r="EK189" s="25"/>
      <c r="EL189" s="25"/>
      <c r="EM189" s="25"/>
      <c r="EN189" s="25"/>
      <c r="EO189" s="25"/>
      <c r="EP189" s="25"/>
      <c r="EQ189" s="25"/>
      <c r="ER189" s="25"/>
      <c r="ES189" s="25"/>
      <c r="ET189" s="25"/>
      <c r="EU189" s="25"/>
      <c r="EV189" s="25"/>
      <c r="EW189" s="25"/>
      <c r="EX189" s="25"/>
      <c r="EY189" s="25"/>
      <c r="EZ189" s="25"/>
      <c r="FA189" s="25"/>
      <c r="FB189" s="25"/>
      <c r="FC189" s="25"/>
      <c r="FD189" s="25"/>
      <c r="FE189" s="25"/>
      <c r="FF189" s="25"/>
      <c r="FG189" s="25"/>
      <c r="FH189" s="25"/>
      <c r="FI189" s="25"/>
      <c r="FJ189" s="25"/>
      <c r="FK189" s="25"/>
      <c r="FL189" s="25"/>
      <c r="FM189" s="25"/>
      <c r="FN189" s="25"/>
      <c r="FO189" s="25"/>
      <c r="FP189" s="25"/>
      <c r="FQ189" s="25"/>
      <c r="FR189" s="25"/>
      <c r="FS189" s="25"/>
      <c r="FT189" s="25"/>
      <c r="FU189" s="25"/>
      <c r="FV189" s="25"/>
      <c r="FW189" s="25"/>
      <c r="FX189" s="25"/>
      <c r="FY189" s="25"/>
      <c r="FZ189" s="25"/>
      <c r="GA189" s="25"/>
      <c r="GB189" s="25"/>
      <c r="GC189" s="25"/>
      <c r="GD189" s="25"/>
      <c r="GE189" s="25"/>
      <c r="GF189" s="25"/>
      <c r="GG189" s="25"/>
    </row>
    <row r="190" spans="1:189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  <c r="DA190" s="25"/>
      <c r="DB190" s="25"/>
      <c r="DC190" s="25"/>
      <c r="DD190" s="25"/>
      <c r="DE190" s="25"/>
      <c r="DF190" s="25"/>
      <c r="DG190" s="25"/>
      <c r="DH190" s="25"/>
      <c r="DI190" s="25"/>
      <c r="DJ190" s="25"/>
      <c r="DK190" s="25"/>
      <c r="DL190" s="25"/>
      <c r="DM190" s="25"/>
      <c r="DN190" s="25"/>
      <c r="DO190" s="25"/>
      <c r="DP190" s="25"/>
      <c r="DQ190" s="25"/>
      <c r="DR190" s="25"/>
      <c r="DS190" s="25"/>
      <c r="DT190" s="25"/>
      <c r="DU190" s="25"/>
      <c r="DV190" s="25"/>
      <c r="DW190" s="25"/>
      <c r="DX190" s="25"/>
      <c r="DY190" s="25"/>
      <c r="DZ190" s="25"/>
      <c r="EA190" s="25"/>
      <c r="EB190" s="25"/>
      <c r="EC190" s="25"/>
      <c r="ED190" s="25"/>
      <c r="EE190" s="25"/>
      <c r="EF190" s="25"/>
      <c r="EG190" s="25"/>
      <c r="EH190" s="25"/>
      <c r="EI190" s="25"/>
      <c r="EJ190" s="25"/>
      <c r="EK190" s="25"/>
      <c r="EL190" s="25"/>
      <c r="EM190" s="25"/>
      <c r="EN190" s="25"/>
      <c r="EO190" s="25"/>
      <c r="EP190" s="25"/>
      <c r="EQ190" s="25"/>
      <c r="ER190" s="25"/>
      <c r="ES190" s="25"/>
      <c r="ET190" s="25"/>
      <c r="EU190" s="25"/>
      <c r="EV190" s="25"/>
      <c r="EW190" s="25"/>
      <c r="EX190" s="25"/>
      <c r="EY190" s="25"/>
      <c r="EZ190" s="25"/>
      <c r="FA190" s="25"/>
      <c r="FB190" s="25"/>
      <c r="FC190" s="25"/>
      <c r="FD190" s="25"/>
      <c r="FE190" s="25"/>
      <c r="FF190" s="25"/>
      <c r="FG190" s="25"/>
      <c r="FH190" s="25"/>
      <c r="FI190" s="25"/>
      <c r="FJ190" s="25"/>
      <c r="FK190" s="25"/>
      <c r="FL190" s="25"/>
      <c r="FM190" s="25"/>
      <c r="FN190" s="25"/>
      <c r="FO190" s="25"/>
      <c r="FP190" s="25"/>
      <c r="FQ190" s="25"/>
      <c r="FR190" s="25"/>
      <c r="FS190" s="25"/>
      <c r="FT190" s="25"/>
      <c r="FU190" s="25"/>
      <c r="FV190" s="25"/>
      <c r="FW190" s="25"/>
      <c r="FX190" s="25"/>
      <c r="FY190" s="25"/>
      <c r="FZ190" s="25"/>
      <c r="GA190" s="25"/>
      <c r="GB190" s="25"/>
      <c r="GC190" s="25"/>
      <c r="GD190" s="25"/>
      <c r="GE190" s="25"/>
      <c r="GF190" s="25"/>
      <c r="GG190" s="25"/>
    </row>
    <row r="191" spans="1:189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/>
      <c r="DD191" s="25"/>
      <c r="DE191" s="25"/>
      <c r="DF191" s="25"/>
      <c r="DG191" s="25"/>
      <c r="DH191" s="25"/>
      <c r="DI191" s="25"/>
      <c r="DJ191" s="25"/>
      <c r="DK191" s="25"/>
      <c r="DL191" s="25"/>
      <c r="DM191" s="25"/>
      <c r="DN191" s="25"/>
      <c r="DO191" s="25"/>
      <c r="DP191" s="25"/>
      <c r="DQ191" s="25"/>
      <c r="DR191" s="25"/>
      <c r="DS191" s="25"/>
      <c r="DT191" s="25"/>
      <c r="DU191" s="25"/>
      <c r="DV191" s="25"/>
      <c r="DW191" s="25"/>
      <c r="DX191" s="25"/>
      <c r="DY191" s="25"/>
      <c r="DZ191" s="25"/>
      <c r="EA191" s="25"/>
      <c r="EB191" s="25"/>
      <c r="EC191" s="25"/>
      <c r="ED191" s="25"/>
      <c r="EE191" s="25"/>
      <c r="EF191" s="25"/>
      <c r="EG191" s="25"/>
      <c r="EH191" s="25"/>
      <c r="EI191" s="25"/>
      <c r="EJ191" s="25"/>
      <c r="EK191" s="25"/>
      <c r="EL191" s="25"/>
      <c r="EM191" s="25"/>
      <c r="EN191" s="25"/>
      <c r="EO191" s="25"/>
      <c r="EP191" s="25"/>
      <c r="EQ191" s="25"/>
      <c r="ER191" s="25"/>
      <c r="ES191" s="25"/>
      <c r="ET191" s="25"/>
      <c r="EU191" s="25"/>
      <c r="EV191" s="25"/>
      <c r="EW191" s="25"/>
      <c r="EX191" s="25"/>
      <c r="EY191" s="25"/>
      <c r="EZ191" s="25"/>
      <c r="FA191" s="25"/>
      <c r="FB191" s="25"/>
      <c r="FC191" s="25"/>
      <c r="FD191" s="25"/>
      <c r="FE191" s="25"/>
      <c r="FF191" s="25"/>
      <c r="FG191" s="25"/>
      <c r="FH191" s="25"/>
      <c r="FI191" s="25"/>
      <c r="FJ191" s="25"/>
      <c r="FK191" s="25"/>
      <c r="FL191" s="25"/>
      <c r="FM191" s="25"/>
      <c r="FN191" s="25"/>
      <c r="FO191" s="25"/>
      <c r="FP191" s="25"/>
      <c r="FQ191" s="25"/>
      <c r="FR191" s="25"/>
      <c r="FS191" s="25"/>
      <c r="FT191" s="25"/>
      <c r="FU191" s="25"/>
      <c r="FV191" s="25"/>
      <c r="FW191" s="25"/>
      <c r="FX191" s="25"/>
      <c r="FY191" s="25"/>
      <c r="FZ191" s="25"/>
      <c r="GA191" s="25"/>
      <c r="GB191" s="25"/>
      <c r="GC191" s="25"/>
      <c r="GD191" s="25"/>
      <c r="GE191" s="25"/>
      <c r="GF191" s="25"/>
      <c r="GG191" s="25"/>
    </row>
    <row r="192" spans="1:189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Y192" s="25"/>
      <c r="CZ192" s="25"/>
      <c r="DA192" s="25"/>
      <c r="DB192" s="25"/>
      <c r="DC192" s="25"/>
      <c r="DD192" s="25"/>
      <c r="DE192" s="25"/>
      <c r="DF192" s="25"/>
      <c r="DG192" s="25"/>
      <c r="DH192" s="25"/>
      <c r="DI192" s="25"/>
      <c r="DJ192" s="25"/>
      <c r="DK192" s="25"/>
      <c r="DL192" s="25"/>
      <c r="DM192" s="25"/>
      <c r="DN192" s="25"/>
      <c r="DO192" s="25"/>
      <c r="DP192" s="25"/>
      <c r="DQ192" s="25"/>
      <c r="DR192" s="25"/>
      <c r="DS192" s="25"/>
      <c r="DT192" s="25"/>
      <c r="DU192" s="25"/>
      <c r="DV192" s="25"/>
      <c r="DW192" s="25"/>
      <c r="DX192" s="25"/>
      <c r="DY192" s="25"/>
      <c r="DZ192" s="25"/>
      <c r="EA192" s="25"/>
      <c r="EB192" s="25"/>
      <c r="EC192" s="25"/>
      <c r="ED192" s="25"/>
      <c r="EE192" s="25"/>
      <c r="EF192" s="25"/>
      <c r="EG192" s="25"/>
      <c r="EH192" s="25"/>
      <c r="EI192" s="25"/>
      <c r="EJ192" s="25"/>
      <c r="EK192" s="25"/>
      <c r="EL192" s="25"/>
      <c r="EM192" s="25"/>
      <c r="EN192" s="25"/>
      <c r="EO192" s="25"/>
      <c r="EP192" s="25"/>
      <c r="EQ192" s="25"/>
      <c r="ER192" s="25"/>
      <c r="ES192" s="25"/>
      <c r="ET192" s="25"/>
      <c r="EU192" s="25"/>
      <c r="EV192" s="25"/>
      <c r="EW192" s="25"/>
      <c r="EX192" s="25"/>
      <c r="EY192" s="25"/>
      <c r="EZ192" s="25"/>
      <c r="FA192" s="25"/>
      <c r="FB192" s="25"/>
      <c r="FC192" s="25"/>
      <c r="FD192" s="25"/>
      <c r="FE192" s="25"/>
      <c r="FF192" s="25"/>
      <c r="FG192" s="25"/>
      <c r="FH192" s="25"/>
      <c r="FI192" s="25"/>
      <c r="FJ192" s="25"/>
      <c r="FK192" s="25"/>
      <c r="FL192" s="25"/>
      <c r="FM192" s="25"/>
      <c r="FN192" s="25"/>
      <c r="FO192" s="25"/>
      <c r="FP192" s="25"/>
      <c r="FQ192" s="25"/>
      <c r="FR192" s="25"/>
      <c r="FS192" s="25"/>
      <c r="FT192" s="25"/>
      <c r="FU192" s="25"/>
      <c r="FV192" s="25"/>
      <c r="FW192" s="25"/>
      <c r="FX192" s="25"/>
      <c r="FY192" s="25"/>
      <c r="FZ192" s="25"/>
      <c r="GA192" s="25"/>
      <c r="GB192" s="25"/>
      <c r="GC192" s="25"/>
      <c r="GD192" s="25"/>
      <c r="GE192" s="25"/>
      <c r="GF192" s="25"/>
      <c r="GG192" s="25"/>
    </row>
    <row r="193" spans="20:189" x14ac:dyDescent="0.35"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  <c r="CR193" s="25"/>
      <c r="CS193" s="25"/>
      <c r="CT193" s="25"/>
      <c r="CU193" s="25"/>
      <c r="CV193" s="25"/>
      <c r="CW193" s="25"/>
      <c r="CX193" s="25"/>
      <c r="CY193" s="25"/>
      <c r="CZ193" s="25"/>
      <c r="DA193" s="25"/>
      <c r="DB193" s="25"/>
      <c r="DC193" s="25"/>
      <c r="DD193" s="25"/>
      <c r="DE193" s="25"/>
      <c r="DF193" s="25"/>
      <c r="DG193" s="25"/>
      <c r="DH193" s="25"/>
      <c r="DI193" s="25"/>
      <c r="DJ193" s="25"/>
      <c r="DK193" s="25"/>
      <c r="DL193" s="25"/>
      <c r="DM193" s="25"/>
      <c r="DN193" s="25"/>
      <c r="DO193" s="25"/>
      <c r="DP193" s="25"/>
      <c r="DQ193" s="25"/>
      <c r="DR193" s="25"/>
      <c r="DS193" s="25"/>
      <c r="DT193" s="25"/>
      <c r="DU193" s="25"/>
      <c r="DV193" s="25"/>
      <c r="DW193" s="25"/>
      <c r="DX193" s="25"/>
      <c r="DY193" s="25"/>
      <c r="DZ193" s="25"/>
      <c r="EA193" s="25"/>
      <c r="EB193" s="25"/>
      <c r="EC193" s="25"/>
      <c r="ED193" s="25"/>
      <c r="EE193" s="25"/>
      <c r="EF193" s="25"/>
      <c r="EG193" s="25"/>
      <c r="EH193" s="25"/>
      <c r="EI193" s="25"/>
      <c r="EJ193" s="25"/>
      <c r="EK193" s="25"/>
      <c r="EL193" s="25"/>
      <c r="EM193" s="25"/>
      <c r="EN193" s="25"/>
      <c r="EO193" s="25"/>
      <c r="EP193" s="25"/>
      <c r="EQ193" s="25"/>
      <c r="ER193" s="25"/>
      <c r="ES193" s="25"/>
      <c r="ET193" s="25"/>
      <c r="EU193" s="25"/>
      <c r="EV193" s="25"/>
      <c r="EW193" s="25"/>
      <c r="EX193" s="25"/>
      <c r="EY193" s="25"/>
      <c r="EZ193" s="25"/>
      <c r="FA193" s="25"/>
      <c r="FB193" s="25"/>
      <c r="FC193" s="25"/>
      <c r="FD193" s="25"/>
      <c r="FE193" s="25"/>
      <c r="FF193" s="25"/>
      <c r="FG193" s="25"/>
      <c r="FH193" s="25"/>
      <c r="FI193" s="25"/>
      <c r="FJ193" s="25"/>
      <c r="FK193" s="25"/>
      <c r="FL193" s="25"/>
      <c r="FM193" s="25"/>
      <c r="FN193" s="25"/>
      <c r="FO193" s="25"/>
      <c r="FP193" s="25"/>
      <c r="FQ193" s="25"/>
      <c r="FR193" s="25"/>
      <c r="FS193" s="25"/>
      <c r="FT193" s="25"/>
      <c r="FU193" s="25"/>
      <c r="FV193" s="25"/>
      <c r="FW193" s="25"/>
      <c r="FX193" s="25"/>
      <c r="FY193" s="25"/>
      <c r="FZ193" s="25"/>
      <c r="GA193" s="25"/>
      <c r="GB193" s="25"/>
      <c r="GC193" s="25"/>
      <c r="GD193" s="25"/>
      <c r="GE193" s="25"/>
      <c r="GF193" s="25"/>
      <c r="GG193" s="25"/>
    </row>
    <row r="194" spans="20:189" x14ac:dyDescent="0.35"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Y194" s="25"/>
      <c r="CZ194" s="25"/>
      <c r="DA194" s="25"/>
      <c r="DB194" s="25"/>
      <c r="DC194" s="25"/>
      <c r="DD194" s="25"/>
      <c r="DE194" s="25"/>
      <c r="DF194" s="25"/>
      <c r="DG194" s="25"/>
      <c r="DH194" s="25"/>
      <c r="DI194" s="25"/>
      <c r="DJ194" s="25"/>
      <c r="DK194" s="25"/>
      <c r="DL194" s="25"/>
      <c r="DM194" s="25"/>
      <c r="DN194" s="25"/>
      <c r="DO194" s="25"/>
      <c r="DP194" s="25"/>
      <c r="DQ194" s="25"/>
      <c r="DR194" s="25"/>
      <c r="DS194" s="25"/>
      <c r="DT194" s="25"/>
      <c r="DU194" s="25"/>
      <c r="DV194" s="25"/>
      <c r="DW194" s="25"/>
      <c r="DX194" s="25"/>
      <c r="DY194" s="25"/>
      <c r="DZ194" s="25"/>
      <c r="EA194" s="25"/>
      <c r="EB194" s="25"/>
      <c r="EC194" s="25"/>
      <c r="ED194" s="25"/>
      <c r="EE194" s="25"/>
      <c r="EF194" s="25"/>
      <c r="EG194" s="25"/>
      <c r="EH194" s="25"/>
      <c r="EI194" s="25"/>
      <c r="EJ194" s="25"/>
      <c r="EK194" s="25"/>
      <c r="EL194" s="25"/>
      <c r="EM194" s="25"/>
      <c r="EN194" s="25"/>
      <c r="EO194" s="25"/>
      <c r="EP194" s="25"/>
      <c r="EQ194" s="25"/>
      <c r="ER194" s="25"/>
      <c r="ES194" s="25"/>
      <c r="ET194" s="25"/>
      <c r="EU194" s="25"/>
      <c r="EV194" s="25"/>
      <c r="EW194" s="25"/>
      <c r="EX194" s="25"/>
      <c r="EY194" s="25"/>
      <c r="EZ194" s="25"/>
      <c r="FA194" s="25"/>
      <c r="FB194" s="25"/>
      <c r="FC194" s="25"/>
      <c r="FD194" s="25"/>
      <c r="FE194" s="25"/>
      <c r="FF194" s="25"/>
      <c r="FG194" s="25"/>
      <c r="FH194" s="25"/>
      <c r="FI194" s="25"/>
      <c r="FJ194" s="25"/>
      <c r="FK194" s="25"/>
      <c r="FL194" s="25"/>
      <c r="FM194" s="25"/>
      <c r="FN194" s="25"/>
      <c r="FO194" s="25"/>
      <c r="FP194" s="25"/>
      <c r="FQ194" s="25"/>
      <c r="FR194" s="25"/>
      <c r="FS194" s="25"/>
      <c r="FT194" s="25"/>
      <c r="FU194" s="25"/>
      <c r="FV194" s="25"/>
      <c r="FW194" s="25"/>
      <c r="FX194" s="25"/>
      <c r="FY194" s="25"/>
      <c r="FZ194" s="25"/>
      <c r="GA194" s="25"/>
      <c r="GB194" s="25"/>
      <c r="GC194" s="25"/>
      <c r="GD194" s="25"/>
      <c r="GE194" s="25"/>
      <c r="GF194" s="25"/>
      <c r="GG194" s="25"/>
    </row>
    <row r="195" spans="20:189" x14ac:dyDescent="0.35"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Y195" s="25"/>
      <c r="CZ195" s="25"/>
      <c r="DA195" s="25"/>
      <c r="DB195" s="25"/>
      <c r="DC195" s="25"/>
      <c r="DD195" s="25"/>
      <c r="DE195" s="25"/>
      <c r="DF195" s="25"/>
      <c r="DG195" s="25"/>
      <c r="DH195" s="25"/>
      <c r="DI195" s="25"/>
      <c r="DJ195" s="25"/>
      <c r="DK195" s="25"/>
      <c r="DL195" s="25"/>
      <c r="DM195" s="25"/>
      <c r="DN195" s="25"/>
      <c r="DO195" s="25"/>
      <c r="DP195" s="25"/>
      <c r="DQ195" s="25"/>
      <c r="DR195" s="25"/>
      <c r="DS195" s="25"/>
      <c r="DT195" s="25"/>
      <c r="DU195" s="25"/>
      <c r="DV195" s="25"/>
      <c r="DW195" s="25"/>
      <c r="DX195" s="25"/>
      <c r="DY195" s="25"/>
      <c r="DZ195" s="25"/>
      <c r="EA195" s="25"/>
      <c r="EB195" s="25"/>
      <c r="EC195" s="25"/>
      <c r="ED195" s="25"/>
      <c r="EE195" s="25"/>
      <c r="EF195" s="25"/>
      <c r="EG195" s="25"/>
      <c r="EH195" s="25"/>
      <c r="EI195" s="25"/>
      <c r="EJ195" s="25"/>
      <c r="EK195" s="25"/>
      <c r="EL195" s="25"/>
      <c r="EM195" s="25"/>
      <c r="EN195" s="25"/>
      <c r="EO195" s="25"/>
      <c r="EP195" s="25"/>
      <c r="EQ195" s="25"/>
      <c r="ER195" s="25"/>
      <c r="ES195" s="25"/>
      <c r="ET195" s="25"/>
      <c r="EU195" s="25"/>
      <c r="EV195" s="25"/>
      <c r="EW195" s="25"/>
      <c r="EX195" s="25"/>
      <c r="EY195" s="25"/>
      <c r="EZ195" s="25"/>
      <c r="FA195" s="25"/>
      <c r="FB195" s="25"/>
      <c r="FC195" s="25"/>
      <c r="FD195" s="25"/>
      <c r="FE195" s="25"/>
      <c r="FF195" s="25"/>
      <c r="FG195" s="25"/>
      <c r="FH195" s="25"/>
      <c r="FI195" s="25"/>
      <c r="FJ195" s="25"/>
      <c r="FK195" s="25"/>
      <c r="FL195" s="25"/>
      <c r="FM195" s="25"/>
      <c r="FN195" s="25"/>
      <c r="FO195" s="25"/>
      <c r="FP195" s="25"/>
      <c r="FQ195" s="25"/>
      <c r="FR195" s="25"/>
      <c r="FS195" s="25"/>
      <c r="FT195" s="25"/>
      <c r="FU195" s="25"/>
      <c r="FV195" s="25"/>
      <c r="FW195" s="25"/>
      <c r="FX195" s="25"/>
      <c r="FY195" s="25"/>
      <c r="FZ195" s="25"/>
      <c r="GA195" s="25"/>
      <c r="GB195" s="25"/>
      <c r="GC195" s="25"/>
      <c r="GD195" s="25"/>
      <c r="GE195" s="25"/>
      <c r="GF195" s="25"/>
      <c r="GG195" s="25"/>
    </row>
    <row r="196" spans="20:189" x14ac:dyDescent="0.35"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/>
      <c r="CW196" s="25"/>
      <c r="CX196" s="25"/>
      <c r="CY196" s="25"/>
      <c r="CZ196" s="25"/>
      <c r="DA196" s="25"/>
      <c r="DB196" s="25"/>
      <c r="DC196" s="25"/>
      <c r="DD196" s="25"/>
      <c r="DE196" s="25"/>
      <c r="DF196" s="25"/>
      <c r="DG196" s="25"/>
      <c r="DH196" s="25"/>
      <c r="DI196" s="25"/>
      <c r="DJ196" s="25"/>
      <c r="DK196" s="25"/>
      <c r="DL196" s="25"/>
      <c r="DM196" s="25"/>
      <c r="DN196" s="25"/>
      <c r="DO196" s="25"/>
      <c r="DP196" s="25"/>
      <c r="DQ196" s="25"/>
      <c r="DR196" s="25"/>
      <c r="DS196" s="25"/>
      <c r="DT196" s="25"/>
      <c r="DU196" s="25"/>
      <c r="DV196" s="25"/>
      <c r="DW196" s="25"/>
      <c r="DX196" s="25"/>
      <c r="DY196" s="25"/>
      <c r="DZ196" s="25"/>
      <c r="EA196" s="25"/>
      <c r="EB196" s="25"/>
      <c r="EC196" s="25"/>
      <c r="ED196" s="25"/>
      <c r="EE196" s="25"/>
      <c r="EF196" s="25"/>
      <c r="EG196" s="25"/>
      <c r="EH196" s="25"/>
      <c r="EI196" s="25"/>
      <c r="EJ196" s="25"/>
      <c r="EK196" s="25"/>
      <c r="EL196" s="25"/>
      <c r="EM196" s="25"/>
      <c r="EN196" s="25"/>
      <c r="EO196" s="25"/>
      <c r="EP196" s="25"/>
      <c r="EQ196" s="25"/>
      <c r="ER196" s="25"/>
      <c r="ES196" s="25"/>
      <c r="ET196" s="25"/>
      <c r="EU196" s="25"/>
      <c r="EV196" s="25"/>
      <c r="EW196" s="25"/>
      <c r="EX196" s="25"/>
      <c r="EY196" s="25"/>
      <c r="EZ196" s="25"/>
      <c r="FA196" s="25"/>
      <c r="FB196" s="25"/>
      <c r="FC196" s="25"/>
      <c r="FD196" s="25"/>
      <c r="FE196" s="25"/>
      <c r="FF196" s="25"/>
      <c r="FG196" s="25"/>
      <c r="FH196" s="25"/>
      <c r="FI196" s="25"/>
      <c r="FJ196" s="25"/>
      <c r="FK196" s="25"/>
      <c r="FL196" s="25"/>
      <c r="FM196" s="25"/>
      <c r="FN196" s="25"/>
      <c r="FO196" s="25"/>
      <c r="FP196" s="25"/>
      <c r="FQ196" s="25"/>
      <c r="FR196" s="25"/>
      <c r="FS196" s="25"/>
      <c r="FT196" s="25"/>
      <c r="FU196" s="25"/>
      <c r="FV196" s="25"/>
      <c r="FW196" s="25"/>
      <c r="FX196" s="25"/>
      <c r="FY196" s="25"/>
      <c r="FZ196" s="25"/>
      <c r="GA196" s="25"/>
      <c r="GB196" s="25"/>
      <c r="GC196" s="25"/>
      <c r="GD196" s="25"/>
      <c r="GE196" s="25"/>
      <c r="GF196" s="25"/>
      <c r="GG196" s="25"/>
    </row>
    <row r="197" spans="20:189" x14ac:dyDescent="0.35"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5"/>
      <c r="CT197" s="25"/>
      <c r="CU197" s="25"/>
      <c r="CV197" s="25"/>
      <c r="CW197" s="25"/>
      <c r="CX197" s="25"/>
      <c r="CY197" s="25"/>
      <c r="CZ197" s="25"/>
      <c r="DA197" s="25"/>
      <c r="DB197" s="25"/>
      <c r="DC197" s="25"/>
      <c r="DD197" s="25"/>
      <c r="DE197" s="25"/>
      <c r="DF197" s="25"/>
      <c r="DG197" s="25"/>
      <c r="DH197" s="25"/>
      <c r="DI197" s="25"/>
      <c r="DJ197" s="25"/>
      <c r="DK197" s="25"/>
      <c r="DL197" s="25"/>
      <c r="DM197" s="25"/>
      <c r="DN197" s="25"/>
      <c r="DO197" s="25"/>
      <c r="DP197" s="25"/>
      <c r="DQ197" s="25"/>
      <c r="DR197" s="25"/>
      <c r="DS197" s="25"/>
      <c r="DT197" s="25"/>
      <c r="DU197" s="25"/>
      <c r="DV197" s="25"/>
      <c r="DW197" s="25"/>
      <c r="DX197" s="25"/>
      <c r="DY197" s="25"/>
      <c r="DZ197" s="25"/>
      <c r="EA197" s="25"/>
      <c r="EB197" s="25"/>
      <c r="EC197" s="25"/>
      <c r="ED197" s="25"/>
      <c r="EE197" s="25"/>
      <c r="EF197" s="25"/>
      <c r="EG197" s="25"/>
      <c r="EH197" s="25"/>
      <c r="EI197" s="25"/>
      <c r="EJ197" s="25"/>
      <c r="EK197" s="25"/>
      <c r="EL197" s="25"/>
      <c r="EM197" s="25"/>
      <c r="EN197" s="25"/>
      <c r="EO197" s="25"/>
      <c r="EP197" s="25"/>
      <c r="EQ197" s="25"/>
      <c r="ER197" s="25"/>
      <c r="ES197" s="25"/>
      <c r="ET197" s="25"/>
      <c r="EU197" s="25"/>
      <c r="EV197" s="25"/>
      <c r="EW197" s="25"/>
      <c r="EX197" s="25"/>
      <c r="EY197" s="25"/>
      <c r="EZ197" s="25"/>
      <c r="FA197" s="25"/>
      <c r="FB197" s="25"/>
      <c r="FC197" s="25"/>
      <c r="FD197" s="25"/>
      <c r="FE197" s="25"/>
      <c r="FF197" s="25"/>
      <c r="FG197" s="25"/>
      <c r="FH197" s="25"/>
      <c r="FI197" s="25"/>
      <c r="FJ197" s="25"/>
      <c r="FK197" s="25"/>
      <c r="FL197" s="25"/>
      <c r="FM197" s="25"/>
      <c r="FN197" s="25"/>
      <c r="FO197" s="25"/>
      <c r="FP197" s="25"/>
      <c r="FQ197" s="25"/>
      <c r="FR197" s="25"/>
      <c r="FS197" s="25"/>
      <c r="FT197" s="25"/>
      <c r="FU197" s="25"/>
      <c r="FV197" s="25"/>
      <c r="FW197" s="25"/>
      <c r="FX197" s="25"/>
      <c r="FY197" s="25"/>
      <c r="FZ197" s="25"/>
      <c r="GA197" s="25"/>
      <c r="GB197" s="25"/>
      <c r="GC197" s="25"/>
      <c r="GD197" s="25"/>
      <c r="GE197" s="25"/>
      <c r="GF197" s="25"/>
      <c r="GG197" s="25"/>
    </row>
    <row r="198" spans="20:189" x14ac:dyDescent="0.35"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/>
      <c r="CW198" s="25"/>
      <c r="CX198" s="25"/>
      <c r="CY198" s="25"/>
      <c r="CZ198" s="25"/>
      <c r="DA198" s="25"/>
      <c r="DB198" s="25"/>
      <c r="DC198" s="25"/>
      <c r="DD198" s="25"/>
      <c r="DE198" s="25"/>
      <c r="DF198" s="25"/>
      <c r="DG198" s="25"/>
      <c r="DH198" s="25"/>
      <c r="DI198" s="25"/>
      <c r="DJ198" s="25"/>
      <c r="DK198" s="25"/>
      <c r="DL198" s="25"/>
      <c r="DM198" s="25"/>
      <c r="DN198" s="25"/>
      <c r="DO198" s="25"/>
      <c r="DP198" s="25"/>
      <c r="DQ198" s="25"/>
      <c r="DR198" s="25"/>
      <c r="DS198" s="25"/>
      <c r="DT198" s="25"/>
      <c r="DU198" s="25"/>
      <c r="DV198" s="25"/>
      <c r="DW198" s="25"/>
      <c r="DX198" s="25"/>
      <c r="DY198" s="25"/>
      <c r="DZ198" s="25"/>
      <c r="EA198" s="25"/>
      <c r="EB198" s="25"/>
      <c r="EC198" s="25"/>
      <c r="ED198" s="25"/>
      <c r="EE198" s="25"/>
      <c r="EF198" s="25"/>
      <c r="EG198" s="25"/>
      <c r="EH198" s="25"/>
      <c r="EI198" s="25"/>
      <c r="EJ198" s="25"/>
      <c r="EK198" s="25"/>
      <c r="EL198" s="25"/>
      <c r="EM198" s="25"/>
      <c r="EN198" s="25"/>
      <c r="EO198" s="25"/>
      <c r="EP198" s="25"/>
      <c r="EQ198" s="25"/>
      <c r="ER198" s="25"/>
      <c r="ES198" s="25"/>
      <c r="ET198" s="25"/>
      <c r="EU198" s="25"/>
      <c r="EV198" s="25"/>
      <c r="EW198" s="25"/>
      <c r="EX198" s="25"/>
      <c r="EY198" s="25"/>
      <c r="EZ198" s="25"/>
      <c r="FA198" s="25"/>
      <c r="FB198" s="25"/>
      <c r="FC198" s="25"/>
      <c r="FD198" s="25"/>
      <c r="FE198" s="25"/>
      <c r="FF198" s="25"/>
      <c r="FG198" s="25"/>
      <c r="FH198" s="25"/>
      <c r="FI198" s="25"/>
      <c r="FJ198" s="25"/>
      <c r="FK198" s="25"/>
      <c r="FL198" s="25"/>
      <c r="FM198" s="25"/>
      <c r="FN198" s="25"/>
      <c r="FO198" s="25"/>
      <c r="FP198" s="25"/>
      <c r="FQ198" s="25"/>
      <c r="FR198" s="25"/>
      <c r="FS198" s="25"/>
      <c r="FT198" s="25"/>
      <c r="FU198" s="25"/>
      <c r="FV198" s="25"/>
      <c r="FW198" s="25"/>
      <c r="FX198" s="25"/>
      <c r="FY198" s="25"/>
      <c r="FZ198" s="25"/>
      <c r="GA198" s="25"/>
      <c r="GB198" s="25"/>
      <c r="GC198" s="25"/>
      <c r="GD198" s="25"/>
      <c r="GE198" s="25"/>
      <c r="GF198" s="25"/>
      <c r="GG198" s="25"/>
    </row>
    <row r="199" spans="20:189" x14ac:dyDescent="0.35"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25"/>
      <c r="CW199" s="25"/>
      <c r="CX199" s="25"/>
      <c r="CY199" s="25"/>
      <c r="CZ199" s="25"/>
      <c r="DA199" s="25"/>
      <c r="DB199" s="25"/>
      <c r="DC199" s="25"/>
      <c r="DD199" s="25"/>
      <c r="DE199" s="25"/>
      <c r="DF199" s="25"/>
      <c r="DG199" s="25"/>
      <c r="DH199" s="25"/>
      <c r="DI199" s="25"/>
      <c r="DJ199" s="25"/>
      <c r="DK199" s="25"/>
      <c r="DL199" s="25"/>
      <c r="DM199" s="25"/>
      <c r="DN199" s="25"/>
      <c r="DO199" s="25"/>
      <c r="DP199" s="25"/>
      <c r="DQ199" s="25"/>
      <c r="DR199" s="25"/>
      <c r="DS199" s="25"/>
      <c r="DT199" s="25"/>
      <c r="DU199" s="25"/>
      <c r="DV199" s="25"/>
      <c r="DW199" s="25"/>
      <c r="DX199" s="25"/>
      <c r="DY199" s="25"/>
      <c r="DZ199" s="25"/>
      <c r="EA199" s="25"/>
      <c r="EB199" s="25"/>
      <c r="EC199" s="25"/>
      <c r="ED199" s="25"/>
      <c r="EE199" s="25"/>
      <c r="EF199" s="25"/>
      <c r="EG199" s="25"/>
      <c r="EH199" s="25"/>
      <c r="EI199" s="25"/>
      <c r="EJ199" s="25"/>
      <c r="EK199" s="25"/>
      <c r="EL199" s="25"/>
      <c r="EM199" s="25"/>
      <c r="EN199" s="25"/>
      <c r="EO199" s="25"/>
      <c r="EP199" s="25"/>
      <c r="EQ199" s="25"/>
      <c r="ER199" s="25"/>
      <c r="ES199" s="25"/>
      <c r="ET199" s="25"/>
      <c r="EU199" s="25"/>
      <c r="EV199" s="25"/>
      <c r="EW199" s="25"/>
      <c r="EX199" s="25"/>
      <c r="EY199" s="25"/>
      <c r="EZ199" s="25"/>
      <c r="FA199" s="25"/>
      <c r="FB199" s="25"/>
      <c r="FC199" s="25"/>
      <c r="FD199" s="25"/>
      <c r="FE199" s="25"/>
      <c r="FF199" s="25"/>
      <c r="FG199" s="25"/>
      <c r="FH199" s="25"/>
      <c r="FI199" s="25"/>
      <c r="FJ199" s="25"/>
      <c r="FK199" s="25"/>
      <c r="FL199" s="25"/>
      <c r="FM199" s="25"/>
      <c r="FN199" s="25"/>
      <c r="FO199" s="25"/>
      <c r="FP199" s="25"/>
      <c r="FQ199" s="25"/>
      <c r="FR199" s="25"/>
      <c r="FS199" s="25"/>
      <c r="FT199" s="25"/>
      <c r="FU199" s="25"/>
      <c r="FV199" s="25"/>
      <c r="FW199" s="25"/>
      <c r="FX199" s="25"/>
      <c r="FY199" s="25"/>
      <c r="FZ199" s="25"/>
      <c r="GA199" s="25"/>
      <c r="GB199" s="25"/>
      <c r="GC199" s="25"/>
      <c r="GD199" s="25"/>
      <c r="GE199" s="25"/>
      <c r="GF199" s="25"/>
      <c r="GG199" s="25"/>
    </row>
    <row r="200" spans="20:189" x14ac:dyDescent="0.35"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5"/>
      <c r="CT200" s="25"/>
      <c r="CU200" s="25"/>
      <c r="CV200" s="25"/>
      <c r="CW200" s="25"/>
      <c r="CX200" s="25"/>
      <c r="CY200" s="25"/>
      <c r="CZ200" s="25"/>
      <c r="DA200" s="25"/>
      <c r="DB200" s="25"/>
      <c r="DC200" s="25"/>
      <c r="DD200" s="25"/>
      <c r="DE200" s="25"/>
      <c r="DF200" s="25"/>
      <c r="DG200" s="25"/>
      <c r="DH200" s="25"/>
      <c r="DI200" s="25"/>
      <c r="DJ200" s="25"/>
      <c r="DK200" s="25"/>
      <c r="DL200" s="25"/>
      <c r="DM200" s="25"/>
      <c r="DN200" s="25"/>
      <c r="DO200" s="25"/>
      <c r="DP200" s="25"/>
      <c r="DQ200" s="25"/>
      <c r="DR200" s="25"/>
      <c r="DS200" s="25"/>
      <c r="DT200" s="25"/>
      <c r="DU200" s="25"/>
      <c r="DV200" s="25"/>
      <c r="DW200" s="25"/>
      <c r="DX200" s="25"/>
      <c r="DY200" s="25"/>
      <c r="DZ200" s="25"/>
      <c r="EA200" s="25"/>
      <c r="EB200" s="25"/>
      <c r="EC200" s="25"/>
      <c r="ED200" s="25"/>
      <c r="EE200" s="25"/>
      <c r="EF200" s="25"/>
      <c r="EG200" s="25"/>
      <c r="EH200" s="25"/>
      <c r="EI200" s="25"/>
      <c r="EJ200" s="25"/>
      <c r="EK200" s="25"/>
      <c r="EL200" s="25"/>
      <c r="EM200" s="25"/>
      <c r="EN200" s="25"/>
      <c r="EO200" s="25"/>
      <c r="EP200" s="25"/>
      <c r="EQ200" s="25"/>
      <c r="ER200" s="25"/>
      <c r="ES200" s="25"/>
      <c r="ET200" s="25"/>
      <c r="EU200" s="25"/>
      <c r="EV200" s="25"/>
      <c r="EW200" s="25"/>
      <c r="EX200" s="25"/>
      <c r="EY200" s="25"/>
      <c r="EZ200" s="25"/>
      <c r="FA200" s="25"/>
      <c r="FB200" s="25"/>
      <c r="FC200" s="25"/>
      <c r="FD200" s="25"/>
      <c r="FE200" s="25"/>
      <c r="FF200" s="25"/>
      <c r="FG200" s="25"/>
      <c r="FH200" s="25"/>
      <c r="FI200" s="25"/>
      <c r="FJ200" s="25"/>
      <c r="FK200" s="25"/>
      <c r="FL200" s="25"/>
      <c r="FM200" s="25"/>
      <c r="FN200" s="25"/>
      <c r="FO200" s="25"/>
      <c r="FP200" s="25"/>
      <c r="FQ200" s="25"/>
      <c r="FR200" s="25"/>
      <c r="FS200" s="25"/>
      <c r="FT200" s="25"/>
      <c r="FU200" s="25"/>
      <c r="FV200" s="25"/>
      <c r="FW200" s="25"/>
      <c r="FX200" s="25"/>
      <c r="FY200" s="25"/>
      <c r="FZ200" s="25"/>
      <c r="GA200" s="25"/>
      <c r="GB200" s="25"/>
      <c r="GC200" s="25"/>
      <c r="GD200" s="25"/>
      <c r="GE200" s="25"/>
      <c r="GF200" s="25"/>
      <c r="GG200" s="25"/>
    </row>
    <row r="201" spans="20:189" x14ac:dyDescent="0.35"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  <c r="CV201" s="25"/>
      <c r="CW201" s="25"/>
      <c r="CX201" s="25"/>
      <c r="CY201" s="25"/>
      <c r="CZ201" s="25"/>
      <c r="DA201" s="25"/>
      <c r="DB201" s="25"/>
      <c r="DC201" s="25"/>
      <c r="DD201" s="25"/>
      <c r="DE201" s="25"/>
      <c r="DF201" s="25"/>
      <c r="DG201" s="25"/>
      <c r="DH201" s="25"/>
      <c r="DI201" s="25"/>
      <c r="DJ201" s="25"/>
      <c r="DK201" s="25"/>
      <c r="DL201" s="25"/>
      <c r="DM201" s="25"/>
      <c r="DN201" s="25"/>
      <c r="DO201" s="25"/>
      <c r="DP201" s="25"/>
      <c r="DQ201" s="25"/>
      <c r="DR201" s="25"/>
      <c r="DS201" s="25"/>
      <c r="DT201" s="25"/>
      <c r="DU201" s="25"/>
      <c r="DV201" s="25"/>
      <c r="DW201" s="25"/>
      <c r="DX201" s="25"/>
      <c r="DY201" s="25"/>
      <c r="DZ201" s="25"/>
      <c r="EA201" s="25"/>
      <c r="EB201" s="25"/>
      <c r="EC201" s="25"/>
      <c r="ED201" s="25"/>
      <c r="EE201" s="25"/>
      <c r="EF201" s="25"/>
      <c r="EG201" s="25"/>
      <c r="EH201" s="25"/>
      <c r="EI201" s="25"/>
      <c r="EJ201" s="25"/>
      <c r="EK201" s="25"/>
      <c r="EL201" s="25"/>
      <c r="EM201" s="25"/>
      <c r="EN201" s="25"/>
      <c r="EO201" s="25"/>
      <c r="EP201" s="25"/>
      <c r="EQ201" s="25"/>
      <c r="ER201" s="25"/>
      <c r="ES201" s="25"/>
      <c r="ET201" s="25"/>
      <c r="EU201" s="25"/>
      <c r="EV201" s="25"/>
      <c r="EW201" s="25"/>
      <c r="EX201" s="25"/>
      <c r="EY201" s="25"/>
      <c r="EZ201" s="25"/>
      <c r="FA201" s="25"/>
      <c r="FB201" s="25"/>
      <c r="FC201" s="25"/>
      <c r="FD201" s="25"/>
      <c r="FE201" s="25"/>
      <c r="FF201" s="25"/>
      <c r="FG201" s="25"/>
      <c r="FH201" s="25"/>
      <c r="FI201" s="25"/>
      <c r="FJ201" s="25"/>
      <c r="FK201" s="25"/>
      <c r="FL201" s="25"/>
      <c r="FM201" s="25"/>
      <c r="FN201" s="25"/>
      <c r="FO201" s="25"/>
      <c r="FP201" s="25"/>
      <c r="FQ201" s="25"/>
      <c r="FR201" s="25"/>
      <c r="FS201" s="25"/>
      <c r="FT201" s="25"/>
      <c r="FU201" s="25"/>
      <c r="FV201" s="25"/>
      <c r="FW201" s="25"/>
      <c r="FX201" s="25"/>
      <c r="FY201" s="25"/>
      <c r="FZ201" s="25"/>
      <c r="GA201" s="25"/>
      <c r="GB201" s="25"/>
      <c r="GC201" s="25"/>
      <c r="GD201" s="25"/>
      <c r="GE201" s="25"/>
      <c r="GF201" s="25"/>
      <c r="GG201" s="25"/>
    </row>
    <row r="202" spans="20:189" x14ac:dyDescent="0.35"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  <c r="CZ202" s="25"/>
      <c r="DA202" s="25"/>
      <c r="DB202" s="25"/>
      <c r="DC202" s="25"/>
      <c r="DD202" s="25"/>
      <c r="DE202" s="25"/>
      <c r="DF202" s="25"/>
      <c r="DG202" s="25"/>
      <c r="DH202" s="25"/>
      <c r="DI202" s="25"/>
      <c r="DJ202" s="25"/>
      <c r="DK202" s="25"/>
      <c r="DL202" s="25"/>
      <c r="DM202" s="25"/>
      <c r="DN202" s="25"/>
      <c r="DO202" s="25"/>
      <c r="DP202" s="25"/>
      <c r="DQ202" s="25"/>
      <c r="DR202" s="25"/>
      <c r="DS202" s="25"/>
      <c r="DT202" s="25"/>
      <c r="DU202" s="25"/>
      <c r="DV202" s="25"/>
      <c r="DW202" s="25"/>
      <c r="DX202" s="25"/>
      <c r="DY202" s="25"/>
      <c r="DZ202" s="25"/>
      <c r="EA202" s="25"/>
      <c r="EB202" s="25"/>
      <c r="EC202" s="25"/>
      <c r="ED202" s="25"/>
      <c r="EE202" s="25"/>
      <c r="EF202" s="25"/>
      <c r="EG202" s="25"/>
      <c r="EH202" s="25"/>
      <c r="EI202" s="25"/>
      <c r="EJ202" s="25"/>
      <c r="EK202" s="25"/>
      <c r="EL202" s="25"/>
      <c r="EM202" s="25"/>
      <c r="EN202" s="25"/>
      <c r="EO202" s="25"/>
      <c r="EP202" s="25"/>
      <c r="EQ202" s="25"/>
      <c r="ER202" s="25"/>
      <c r="ES202" s="25"/>
      <c r="ET202" s="25"/>
      <c r="EU202" s="25"/>
      <c r="EV202" s="25"/>
      <c r="EW202" s="25"/>
      <c r="EX202" s="25"/>
      <c r="EY202" s="25"/>
      <c r="EZ202" s="25"/>
      <c r="FA202" s="25"/>
      <c r="FB202" s="25"/>
      <c r="FC202" s="25"/>
      <c r="FD202" s="25"/>
      <c r="FE202" s="25"/>
      <c r="FF202" s="25"/>
      <c r="FG202" s="25"/>
      <c r="FH202" s="25"/>
      <c r="FI202" s="25"/>
      <c r="FJ202" s="25"/>
      <c r="FK202" s="25"/>
      <c r="FL202" s="25"/>
      <c r="FM202" s="25"/>
      <c r="FN202" s="25"/>
      <c r="FO202" s="25"/>
      <c r="FP202" s="25"/>
      <c r="FQ202" s="25"/>
      <c r="FR202" s="25"/>
      <c r="FS202" s="25"/>
      <c r="FT202" s="25"/>
      <c r="FU202" s="25"/>
      <c r="FV202" s="25"/>
      <c r="FW202" s="25"/>
      <c r="FX202" s="25"/>
      <c r="FY202" s="25"/>
      <c r="FZ202" s="25"/>
      <c r="GA202" s="25"/>
      <c r="GB202" s="25"/>
      <c r="GC202" s="25"/>
      <c r="GD202" s="25"/>
      <c r="GE202" s="25"/>
      <c r="GF202" s="25"/>
      <c r="GG202" s="25"/>
    </row>
    <row r="203" spans="20:189" x14ac:dyDescent="0.35"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Y203" s="25"/>
      <c r="CZ203" s="25"/>
      <c r="DA203" s="25"/>
      <c r="DB203" s="25"/>
      <c r="DC203" s="25"/>
      <c r="DD203" s="25"/>
      <c r="DE203" s="25"/>
      <c r="DF203" s="25"/>
      <c r="DG203" s="25"/>
      <c r="DH203" s="25"/>
      <c r="DI203" s="25"/>
      <c r="DJ203" s="25"/>
      <c r="DK203" s="25"/>
      <c r="DL203" s="25"/>
      <c r="DM203" s="25"/>
      <c r="DN203" s="25"/>
      <c r="DO203" s="25"/>
      <c r="DP203" s="25"/>
      <c r="DQ203" s="25"/>
      <c r="DR203" s="25"/>
      <c r="DS203" s="25"/>
      <c r="DT203" s="25"/>
      <c r="DU203" s="25"/>
      <c r="DV203" s="25"/>
      <c r="DW203" s="25"/>
      <c r="DX203" s="25"/>
      <c r="DY203" s="25"/>
      <c r="DZ203" s="25"/>
      <c r="EA203" s="25"/>
      <c r="EB203" s="25"/>
      <c r="EC203" s="25"/>
      <c r="ED203" s="25"/>
      <c r="EE203" s="25"/>
      <c r="EF203" s="25"/>
      <c r="EG203" s="25"/>
      <c r="EH203" s="25"/>
      <c r="EI203" s="25"/>
      <c r="EJ203" s="25"/>
      <c r="EK203" s="25"/>
      <c r="EL203" s="25"/>
      <c r="EM203" s="25"/>
      <c r="EN203" s="25"/>
      <c r="EO203" s="25"/>
      <c r="EP203" s="25"/>
      <c r="EQ203" s="25"/>
      <c r="ER203" s="25"/>
      <c r="ES203" s="25"/>
      <c r="ET203" s="25"/>
      <c r="EU203" s="25"/>
      <c r="EV203" s="25"/>
      <c r="EW203" s="25"/>
      <c r="EX203" s="25"/>
      <c r="EY203" s="25"/>
      <c r="EZ203" s="25"/>
      <c r="FA203" s="25"/>
      <c r="FB203" s="25"/>
      <c r="FC203" s="25"/>
      <c r="FD203" s="25"/>
      <c r="FE203" s="25"/>
      <c r="FF203" s="25"/>
      <c r="FG203" s="25"/>
      <c r="FH203" s="25"/>
      <c r="FI203" s="25"/>
      <c r="FJ203" s="25"/>
      <c r="FK203" s="25"/>
      <c r="FL203" s="25"/>
      <c r="FM203" s="25"/>
      <c r="FN203" s="25"/>
      <c r="FO203" s="25"/>
      <c r="FP203" s="25"/>
      <c r="FQ203" s="25"/>
      <c r="FR203" s="25"/>
      <c r="FS203" s="25"/>
      <c r="FT203" s="25"/>
      <c r="FU203" s="25"/>
      <c r="FV203" s="25"/>
      <c r="FW203" s="25"/>
      <c r="FX203" s="25"/>
      <c r="FY203" s="25"/>
      <c r="FZ203" s="25"/>
      <c r="GA203" s="25"/>
      <c r="GB203" s="25"/>
      <c r="GC203" s="25"/>
      <c r="GD203" s="25"/>
      <c r="GE203" s="25"/>
      <c r="GF203" s="25"/>
      <c r="GG203" s="25"/>
    </row>
    <row r="204" spans="20:189" x14ac:dyDescent="0.35"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  <c r="CZ204" s="25"/>
      <c r="DA204" s="25"/>
      <c r="DB204" s="25"/>
      <c r="DC204" s="25"/>
      <c r="DD204" s="25"/>
      <c r="DE204" s="25"/>
      <c r="DF204" s="25"/>
      <c r="DG204" s="25"/>
      <c r="DH204" s="25"/>
      <c r="DI204" s="25"/>
      <c r="DJ204" s="25"/>
      <c r="DK204" s="25"/>
      <c r="DL204" s="25"/>
      <c r="DM204" s="25"/>
      <c r="DN204" s="25"/>
      <c r="DO204" s="25"/>
      <c r="DP204" s="25"/>
      <c r="DQ204" s="25"/>
      <c r="DR204" s="25"/>
      <c r="DS204" s="25"/>
      <c r="DT204" s="25"/>
      <c r="DU204" s="25"/>
      <c r="DV204" s="25"/>
      <c r="DW204" s="25"/>
      <c r="DX204" s="25"/>
      <c r="DY204" s="25"/>
      <c r="DZ204" s="25"/>
      <c r="EA204" s="25"/>
      <c r="EB204" s="25"/>
      <c r="EC204" s="25"/>
      <c r="ED204" s="25"/>
      <c r="EE204" s="25"/>
      <c r="EF204" s="25"/>
      <c r="EG204" s="25"/>
      <c r="EH204" s="25"/>
      <c r="EI204" s="25"/>
      <c r="EJ204" s="25"/>
      <c r="EK204" s="25"/>
      <c r="EL204" s="25"/>
      <c r="EM204" s="25"/>
      <c r="EN204" s="25"/>
      <c r="EO204" s="25"/>
      <c r="EP204" s="25"/>
      <c r="EQ204" s="25"/>
      <c r="ER204" s="25"/>
      <c r="ES204" s="25"/>
      <c r="ET204" s="25"/>
      <c r="EU204" s="25"/>
      <c r="EV204" s="25"/>
      <c r="EW204" s="25"/>
      <c r="EX204" s="25"/>
      <c r="EY204" s="25"/>
      <c r="EZ204" s="25"/>
      <c r="FA204" s="25"/>
      <c r="FB204" s="25"/>
      <c r="FC204" s="25"/>
      <c r="FD204" s="25"/>
      <c r="FE204" s="25"/>
      <c r="FF204" s="25"/>
      <c r="FG204" s="25"/>
      <c r="FH204" s="25"/>
      <c r="FI204" s="25"/>
      <c r="FJ204" s="25"/>
      <c r="FK204" s="25"/>
      <c r="FL204" s="25"/>
      <c r="FM204" s="25"/>
      <c r="FN204" s="25"/>
      <c r="FO204" s="25"/>
      <c r="FP204" s="25"/>
      <c r="FQ204" s="25"/>
      <c r="FR204" s="25"/>
      <c r="FS204" s="25"/>
      <c r="FT204" s="25"/>
      <c r="FU204" s="25"/>
      <c r="FV204" s="25"/>
      <c r="FW204" s="25"/>
      <c r="FX204" s="25"/>
      <c r="FY204" s="25"/>
      <c r="FZ204" s="25"/>
      <c r="GA204" s="25"/>
      <c r="GB204" s="25"/>
      <c r="GC204" s="25"/>
      <c r="GD204" s="25"/>
      <c r="GE204" s="25"/>
      <c r="GF204" s="25"/>
      <c r="GG204" s="25"/>
    </row>
    <row r="205" spans="20:189" x14ac:dyDescent="0.35"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25"/>
      <c r="CW205" s="25"/>
      <c r="CX205" s="25"/>
      <c r="CY205" s="25"/>
      <c r="CZ205" s="25"/>
      <c r="DA205" s="25"/>
      <c r="DB205" s="25"/>
      <c r="DC205" s="25"/>
      <c r="DD205" s="25"/>
      <c r="DE205" s="25"/>
      <c r="DF205" s="25"/>
      <c r="DG205" s="25"/>
      <c r="DH205" s="25"/>
      <c r="DI205" s="25"/>
      <c r="DJ205" s="25"/>
      <c r="DK205" s="25"/>
      <c r="DL205" s="25"/>
      <c r="DM205" s="25"/>
      <c r="DN205" s="25"/>
      <c r="DO205" s="25"/>
      <c r="DP205" s="25"/>
      <c r="DQ205" s="25"/>
      <c r="DR205" s="25"/>
      <c r="DS205" s="25"/>
      <c r="DT205" s="25"/>
      <c r="DU205" s="25"/>
      <c r="DV205" s="25"/>
      <c r="DW205" s="25"/>
      <c r="DX205" s="25"/>
      <c r="DY205" s="25"/>
      <c r="DZ205" s="25"/>
      <c r="EA205" s="25"/>
      <c r="EB205" s="25"/>
      <c r="EC205" s="25"/>
      <c r="ED205" s="25"/>
      <c r="EE205" s="25"/>
      <c r="EF205" s="25"/>
      <c r="EG205" s="25"/>
      <c r="EH205" s="25"/>
      <c r="EI205" s="25"/>
      <c r="EJ205" s="25"/>
      <c r="EK205" s="25"/>
      <c r="EL205" s="25"/>
      <c r="EM205" s="25"/>
      <c r="EN205" s="25"/>
      <c r="EO205" s="25"/>
      <c r="EP205" s="25"/>
      <c r="EQ205" s="25"/>
      <c r="ER205" s="25"/>
      <c r="ES205" s="25"/>
      <c r="ET205" s="25"/>
      <c r="EU205" s="25"/>
      <c r="EV205" s="25"/>
      <c r="EW205" s="25"/>
      <c r="EX205" s="25"/>
      <c r="EY205" s="25"/>
      <c r="EZ205" s="25"/>
      <c r="FA205" s="25"/>
      <c r="FB205" s="25"/>
      <c r="FC205" s="25"/>
      <c r="FD205" s="25"/>
      <c r="FE205" s="25"/>
      <c r="FF205" s="25"/>
      <c r="FG205" s="25"/>
      <c r="FH205" s="25"/>
      <c r="FI205" s="25"/>
      <c r="FJ205" s="25"/>
      <c r="FK205" s="25"/>
      <c r="FL205" s="25"/>
      <c r="FM205" s="25"/>
      <c r="FN205" s="25"/>
      <c r="FO205" s="25"/>
      <c r="FP205" s="25"/>
      <c r="FQ205" s="25"/>
      <c r="FR205" s="25"/>
      <c r="FS205" s="25"/>
      <c r="FT205" s="25"/>
      <c r="FU205" s="25"/>
      <c r="FV205" s="25"/>
      <c r="FW205" s="25"/>
      <c r="FX205" s="25"/>
      <c r="FY205" s="25"/>
      <c r="FZ205" s="25"/>
      <c r="GA205" s="25"/>
      <c r="GB205" s="25"/>
      <c r="GC205" s="25"/>
      <c r="GD205" s="25"/>
      <c r="GE205" s="25"/>
      <c r="GF205" s="25"/>
      <c r="GG205" s="25"/>
    </row>
    <row r="206" spans="20:189" x14ac:dyDescent="0.35"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25"/>
      <c r="CW206" s="25"/>
      <c r="CX206" s="25"/>
      <c r="CY206" s="25"/>
      <c r="CZ206" s="25"/>
      <c r="DA206" s="25"/>
      <c r="DB206" s="25"/>
      <c r="DC206" s="25"/>
      <c r="DD206" s="25"/>
      <c r="DE206" s="25"/>
      <c r="DF206" s="25"/>
      <c r="DG206" s="25"/>
      <c r="DH206" s="25"/>
      <c r="DI206" s="25"/>
      <c r="DJ206" s="25"/>
      <c r="DK206" s="25"/>
      <c r="DL206" s="25"/>
      <c r="DM206" s="25"/>
      <c r="DN206" s="25"/>
      <c r="DO206" s="25"/>
      <c r="DP206" s="25"/>
      <c r="DQ206" s="25"/>
      <c r="DR206" s="25"/>
      <c r="DS206" s="25"/>
      <c r="DT206" s="25"/>
      <c r="DU206" s="25"/>
      <c r="DV206" s="25"/>
      <c r="DW206" s="25"/>
      <c r="DX206" s="25"/>
      <c r="DY206" s="25"/>
      <c r="DZ206" s="25"/>
      <c r="EA206" s="25"/>
      <c r="EB206" s="25"/>
      <c r="EC206" s="25"/>
      <c r="ED206" s="25"/>
      <c r="EE206" s="25"/>
      <c r="EF206" s="25"/>
      <c r="EG206" s="25"/>
      <c r="EH206" s="25"/>
      <c r="EI206" s="25"/>
      <c r="EJ206" s="25"/>
      <c r="EK206" s="25"/>
      <c r="EL206" s="25"/>
      <c r="EM206" s="25"/>
      <c r="EN206" s="25"/>
      <c r="EO206" s="25"/>
      <c r="EP206" s="25"/>
      <c r="EQ206" s="25"/>
      <c r="ER206" s="25"/>
      <c r="ES206" s="25"/>
      <c r="ET206" s="25"/>
      <c r="EU206" s="25"/>
      <c r="EV206" s="25"/>
      <c r="EW206" s="25"/>
      <c r="EX206" s="25"/>
      <c r="EY206" s="25"/>
      <c r="EZ206" s="25"/>
      <c r="FA206" s="25"/>
      <c r="FB206" s="25"/>
      <c r="FC206" s="25"/>
      <c r="FD206" s="25"/>
      <c r="FE206" s="25"/>
      <c r="FF206" s="25"/>
      <c r="FG206" s="25"/>
      <c r="FH206" s="25"/>
      <c r="FI206" s="25"/>
      <c r="FJ206" s="25"/>
      <c r="FK206" s="25"/>
      <c r="FL206" s="25"/>
      <c r="FM206" s="25"/>
      <c r="FN206" s="25"/>
      <c r="FO206" s="25"/>
      <c r="FP206" s="25"/>
      <c r="FQ206" s="25"/>
      <c r="FR206" s="25"/>
      <c r="FS206" s="25"/>
      <c r="FT206" s="25"/>
      <c r="FU206" s="25"/>
      <c r="FV206" s="25"/>
      <c r="FW206" s="25"/>
      <c r="FX206" s="25"/>
      <c r="FY206" s="25"/>
      <c r="FZ206" s="25"/>
      <c r="GA206" s="25"/>
      <c r="GB206" s="25"/>
      <c r="GC206" s="25"/>
      <c r="GD206" s="25"/>
      <c r="GE206" s="25"/>
      <c r="GF206" s="25"/>
      <c r="GG206" s="25"/>
    </row>
  </sheetData>
  <mergeCells count="17">
    <mergeCell ref="A39:B39"/>
    <mergeCell ref="A1:L1"/>
    <mergeCell ref="A23:B23"/>
    <mergeCell ref="C23:D23"/>
    <mergeCell ref="C24:D24"/>
    <mergeCell ref="C25:D25"/>
    <mergeCell ref="C26:D26"/>
    <mergeCell ref="A31:B31"/>
    <mergeCell ref="C31:D31"/>
    <mergeCell ref="C32:D32"/>
    <mergeCell ref="C33:D33"/>
    <mergeCell ref="C34:D34"/>
    <mergeCell ref="C40:E40"/>
    <mergeCell ref="C41:E41"/>
    <mergeCell ref="C42:E42"/>
    <mergeCell ref="C43:E43"/>
    <mergeCell ref="C44:E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FEC0-9AA4-43D9-97E6-2B90005DD49D}">
  <dimension ref="A1:BP123"/>
  <sheetViews>
    <sheetView rightToLeft="1" zoomScale="40" zoomScaleNormal="40" workbookViewId="0">
      <selection activeCell="P7" sqref="P7"/>
    </sheetView>
  </sheetViews>
  <sheetFormatPr defaultRowHeight="14.5" x14ac:dyDescent="0.35"/>
  <cols>
    <col min="1" max="1" width="9.7265625" bestFit="1" customWidth="1"/>
    <col min="2" max="2" width="8.7265625" customWidth="1"/>
    <col min="3" max="3" width="14.6328125" bestFit="1" customWidth="1"/>
    <col min="4" max="4" width="9.453125" customWidth="1"/>
    <col min="5" max="5" width="10.26953125" customWidth="1"/>
    <col min="6" max="7" width="10.54296875" customWidth="1"/>
    <col min="8" max="8" width="10.54296875" bestFit="1" customWidth="1"/>
    <col min="11" max="11" width="17.453125" customWidth="1"/>
  </cols>
  <sheetData>
    <row r="1" spans="1:68" ht="20" x14ac:dyDescent="0.35">
      <c r="A1" s="51" t="s">
        <v>78</v>
      </c>
      <c r="B1" s="51"/>
      <c r="C1" s="51"/>
      <c r="D1" s="51"/>
      <c r="E1" s="51"/>
      <c r="F1" s="51"/>
      <c r="G1" s="51"/>
      <c r="H1" s="51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</row>
    <row r="2" spans="1:68" x14ac:dyDescent="0.35">
      <c r="A2" s="4" t="s">
        <v>79</v>
      </c>
      <c r="B2" s="16" t="s">
        <v>5</v>
      </c>
      <c r="C2" s="16" t="s">
        <v>80</v>
      </c>
      <c r="D2" s="4" t="s">
        <v>81</v>
      </c>
      <c r="E2" s="2" t="s">
        <v>9</v>
      </c>
      <c r="F2" s="30" t="s">
        <v>8</v>
      </c>
      <c r="G2" s="17" t="s">
        <v>82</v>
      </c>
      <c r="H2" s="17" t="s">
        <v>83</v>
      </c>
      <c r="I2" s="19"/>
      <c r="J2" s="19"/>
      <c r="K2" s="4" t="s">
        <v>84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</row>
    <row r="3" spans="1:68" x14ac:dyDescent="0.35">
      <c r="A3" s="5" t="str">
        <f>VLOOKUP(G3, $A$35:$B$43, 2, FALSE) &amp; VLOOKUP(F3, $D$35:$E$43, 2, FALSE) &amp; VLOOKUP(D3, $G$35:$H$43, 2, FALSE)</f>
        <v>5214</v>
      </c>
      <c r="B3" s="5" t="s">
        <v>16</v>
      </c>
      <c r="C3" s="5" t="s">
        <v>85</v>
      </c>
      <c r="D3" s="5" t="s">
        <v>86</v>
      </c>
      <c r="E3" s="7">
        <v>3300</v>
      </c>
      <c r="F3" s="5" t="s">
        <v>87</v>
      </c>
      <c r="G3" s="5" t="s">
        <v>88</v>
      </c>
      <c r="H3" s="31">
        <v>10</v>
      </c>
      <c r="I3" s="19"/>
      <c r="J3" s="19"/>
      <c r="K3" s="22">
        <f>SUMPRODUCT($E$3:$E$26, $H$3:$H$26)</f>
        <v>877250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</row>
    <row r="4" spans="1:68" x14ac:dyDescent="0.35">
      <c r="A4" s="5" t="str">
        <f t="shared" ref="A4:A26" si="0">VLOOKUP(G4, $A$35:$B$40, 2, FALSE) &amp; VLOOKUP(F4, $D$35:$E$40, 2, FALSE) &amp; VLOOKUP(D4, $G$35:$H$40, 2, FALSE)</f>
        <v>5314</v>
      </c>
      <c r="B4" s="5" t="s">
        <v>89</v>
      </c>
      <c r="C4" s="5" t="s">
        <v>90</v>
      </c>
      <c r="D4" s="5" t="s">
        <v>86</v>
      </c>
      <c r="E4" s="7">
        <v>3500</v>
      </c>
      <c r="F4" s="32" t="s">
        <v>91</v>
      </c>
      <c r="G4" s="5" t="s">
        <v>88</v>
      </c>
      <c r="H4" s="31">
        <v>15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</row>
    <row r="5" spans="1:68" x14ac:dyDescent="0.35">
      <c r="A5" s="5" t="str">
        <f t="shared" si="0"/>
        <v>5424</v>
      </c>
      <c r="B5" s="5" t="s">
        <v>51</v>
      </c>
      <c r="C5" s="5" t="s">
        <v>92</v>
      </c>
      <c r="D5" s="5" t="s">
        <v>93</v>
      </c>
      <c r="E5" s="7">
        <v>4200</v>
      </c>
      <c r="F5" s="5" t="s">
        <v>94</v>
      </c>
      <c r="G5" s="5" t="s">
        <v>88</v>
      </c>
      <c r="H5" s="31">
        <v>12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</row>
    <row r="6" spans="1:68" x14ac:dyDescent="0.35">
      <c r="A6" s="5" t="str">
        <f t="shared" si="0"/>
        <v>5318</v>
      </c>
      <c r="B6" s="5" t="s">
        <v>95</v>
      </c>
      <c r="C6" s="5" t="s">
        <v>96</v>
      </c>
      <c r="D6" s="32" t="s">
        <v>97</v>
      </c>
      <c r="E6" s="7">
        <v>3600</v>
      </c>
      <c r="F6" s="32" t="s">
        <v>91</v>
      </c>
      <c r="G6" s="5" t="s">
        <v>88</v>
      </c>
      <c r="H6" s="31">
        <v>10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x14ac:dyDescent="0.35">
      <c r="A7" s="5" t="str">
        <f t="shared" si="0"/>
        <v>5218</v>
      </c>
      <c r="B7" s="5" t="s">
        <v>98</v>
      </c>
      <c r="C7" s="5" t="s">
        <v>99</v>
      </c>
      <c r="D7" s="32" t="s">
        <v>97</v>
      </c>
      <c r="E7" s="7">
        <v>3400</v>
      </c>
      <c r="F7" s="5" t="s">
        <v>87</v>
      </c>
      <c r="G7" s="5" t="s">
        <v>88</v>
      </c>
      <c r="H7" s="31">
        <v>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x14ac:dyDescent="0.35">
      <c r="A8" s="5" t="str">
        <f t="shared" si="0"/>
        <v>5414</v>
      </c>
      <c r="B8" s="5" t="s">
        <v>100</v>
      </c>
      <c r="C8" s="5" t="s">
        <v>101</v>
      </c>
      <c r="D8" s="5" t="s">
        <v>86</v>
      </c>
      <c r="E8" s="7">
        <v>3000</v>
      </c>
      <c r="F8" s="5" t="s">
        <v>94</v>
      </c>
      <c r="G8" s="5" t="s">
        <v>88</v>
      </c>
      <c r="H8" s="31">
        <v>12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</row>
    <row r="9" spans="1:68" x14ac:dyDescent="0.35">
      <c r="A9" s="5" t="str">
        <f t="shared" si="0"/>
        <v>5418</v>
      </c>
      <c r="B9" s="5" t="s">
        <v>102</v>
      </c>
      <c r="C9" s="5" t="s">
        <v>103</v>
      </c>
      <c r="D9" s="32" t="s">
        <v>97</v>
      </c>
      <c r="E9" s="7">
        <v>3500</v>
      </c>
      <c r="F9" s="5" t="s">
        <v>94</v>
      </c>
      <c r="G9" s="5" t="s">
        <v>88</v>
      </c>
      <c r="H9" s="31">
        <v>8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</row>
    <row r="10" spans="1:68" x14ac:dyDescent="0.35">
      <c r="A10" s="5" t="str">
        <f t="shared" si="0"/>
        <v>6214</v>
      </c>
      <c r="B10" s="5" t="s">
        <v>47</v>
      </c>
      <c r="C10" s="5" t="s">
        <v>104</v>
      </c>
      <c r="D10" s="5" t="s">
        <v>86</v>
      </c>
      <c r="E10" s="7">
        <v>2600</v>
      </c>
      <c r="F10" s="5" t="s">
        <v>87</v>
      </c>
      <c r="G10" s="5" t="s">
        <v>105</v>
      </c>
      <c r="H10" s="31">
        <v>20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</row>
    <row r="11" spans="1:68" x14ac:dyDescent="0.35">
      <c r="A11" s="5" t="str">
        <f t="shared" si="0"/>
        <v>6314</v>
      </c>
      <c r="B11" s="5" t="s">
        <v>20</v>
      </c>
      <c r="C11" s="5" t="s">
        <v>106</v>
      </c>
      <c r="D11" s="5" t="s">
        <v>86</v>
      </c>
      <c r="E11" s="7">
        <v>2800</v>
      </c>
      <c r="F11" s="32" t="s">
        <v>91</v>
      </c>
      <c r="G11" s="5" t="s">
        <v>105</v>
      </c>
      <c r="H11" s="31">
        <v>18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</row>
    <row r="12" spans="1:68" x14ac:dyDescent="0.35">
      <c r="A12" s="5" t="str">
        <f t="shared" si="0"/>
        <v>6318</v>
      </c>
      <c r="B12" s="5" t="s">
        <v>44</v>
      </c>
      <c r="C12" s="5" t="s">
        <v>107</v>
      </c>
      <c r="D12" s="32" t="s">
        <v>97</v>
      </c>
      <c r="E12" s="7">
        <v>2900</v>
      </c>
      <c r="F12" s="32" t="s">
        <v>91</v>
      </c>
      <c r="G12" s="5" t="s">
        <v>105</v>
      </c>
      <c r="H12" s="31">
        <v>10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</row>
    <row r="13" spans="1:68" x14ac:dyDescent="0.35">
      <c r="A13" s="5" t="str">
        <f t="shared" si="0"/>
        <v>6324</v>
      </c>
      <c r="B13" s="5" t="s">
        <v>212</v>
      </c>
      <c r="C13" s="5" t="s">
        <v>108</v>
      </c>
      <c r="D13" s="5" t="s">
        <v>93</v>
      </c>
      <c r="E13" s="7">
        <v>3300</v>
      </c>
      <c r="F13" s="32" t="s">
        <v>91</v>
      </c>
      <c r="G13" s="5" t="s">
        <v>105</v>
      </c>
      <c r="H13" s="31">
        <v>10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</row>
    <row r="14" spans="1:68" x14ac:dyDescent="0.35">
      <c r="A14" s="5" t="str">
        <f t="shared" si="0"/>
        <v>6414</v>
      </c>
      <c r="B14" s="5" t="s">
        <v>109</v>
      </c>
      <c r="C14" s="5" t="s">
        <v>110</v>
      </c>
      <c r="D14" s="5" t="s">
        <v>86</v>
      </c>
      <c r="E14" s="7">
        <v>2500</v>
      </c>
      <c r="F14" s="5" t="s">
        <v>94</v>
      </c>
      <c r="G14" s="5" t="s">
        <v>105</v>
      </c>
      <c r="H14" s="31">
        <v>22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</row>
    <row r="15" spans="1:68" x14ac:dyDescent="0.35">
      <c r="A15" s="5" t="str">
        <f t="shared" si="0"/>
        <v>6418</v>
      </c>
      <c r="B15" s="5" t="s">
        <v>25</v>
      </c>
      <c r="C15" s="5" t="s">
        <v>111</v>
      </c>
      <c r="D15" s="32" t="s">
        <v>97</v>
      </c>
      <c r="E15" s="7">
        <v>2800</v>
      </c>
      <c r="F15" s="5" t="s">
        <v>94</v>
      </c>
      <c r="G15" s="5" t="s">
        <v>105</v>
      </c>
      <c r="H15" s="31">
        <v>16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</row>
    <row r="16" spans="1:68" x14ac:dyDescent="0.35">
      <c r="A16" s="5" t="str">
        <f t="shared" si="0"/>
        <v>7414</v>
      </c>
      <c r="B16" s="5" t="s">
        <v>112</v>
      </c>
      <c r="C16" s="5" t="s">
        <v>113</v>
      </c>
      <c r="D16" s="5" t="s">
        <v>86</v>
      </c>
      <c r="E16" s="7">
        <v>950</v>
      </c>
      <c r="F16" s="5" t="s">
        <v>94</v>
      </c>
      <c r="G16" s="5" t="s">
        <v>114</v>
      </c>
      <c r="H16" s="31">
        <v>25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</row>
    <row r="17" spans="1:68" x14ac:dyDescent="0.35">
      <c r="A17" s="5" t="str">
        <f t="shared" si="0"/>
        <v>7324</v>
      </c>
      <c r="B17" s="5" t="s">
        <v>115</v>
      </c>
      <c r="C17" s="5" t="s">
        <v>116</v>
      </c>
      <c r="D17" s="5" t="s">
        <v>93</v>
      </c>
      <c r="E17" s="7">
        <v>1800</v>
      </c>
      <c r="F17" s="32" t="s">
        <v>91</v>
      </c>
      <c r="G17" s="5" t="s">
        <v>114</v>
      </c>
      <c r="H17" s="31">
        <v>15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</row>
    <row r="18" spans="1:68" x14ac:dyDescent="0.35">
      <c r="A18" s="5" t="str">
        <f t="shared" si="0"/>
        <v>7424</v>
      </c>
      <c r="B18" s="5" t="s">
        <v>117</v>
      </c>
      <c r="C18" s="5" t="s">
        <v>118</v>
      </c>
      <c r="D18" s="5" t="s">
        <v>93</v>
      </c>
      <c r="E18" s="7">
        <v>1600</v>
      </c>
      <c r="F18" s="5" t="s">
        <v>94</v>
      </c>
      <c r="G18" s="5" t="s">
        <v>114</v>
      </c>
      <c r="H18" s="31">
        <v>15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</row>
    <row r="19" spans="1:68" x14ac:dyDescent="0.35">
      <c r="A19" s="5" t="str">
        <f t="shared" si="0"/>
        <v>7218</v>
      </c>
      <c r="B19" s="5" t="s">
        <v>49</v>
      </c>
      <c r="C19" s="5" t="s">
        <v>119</v>
      </c>
      <c r="D19" s="32" t="s">
        <v>97</v>
      </c>
      <c r="E19" s="7">
        <v>1300</v>
      </c>
      <c r="F19" s="5" t="s">
        <v>87</v>
      </c>
      <c r="G19" s="5" t="s">
        <v>114</v>
      </c>
      <c r="H19" s="31">
        <v>30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</row>
    <row r="20" spans="1:68" x14ac:dyDescent="0.35">
      <c r="A20" s="5" t="str">
        <f t="shared" si="0"/>
        <v>7318</v>
      </c>
      <c r="B20" s="5" t="s">
        <v>31</v>
      </c>
      <c r="C20" s="5" t="s">
        <v>120</v>
      </c>
      <c r="D20" s="32" t="s">
        <v>97</v>
      </c>
      <c r="E20" s="7">
        <v>1500</v>
      </c>
      <c r="F20" s="32" t="s">
        <v>91</v>
      </c>
      <c r="G20" s="5" t="s">
        <v>114</v>
      </c>
      <c r="H20" s="31">
        <v>25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</row>
    <row r="21" spans="1:68" x14ac:dyDescent="0.35">
      <c r="A21" s="5" t="str">
        <f t="shared" si="0"/>
        <v>7418</v>
      </c>
      <c r="B21" s="5" t="s">
        <v>38</v>
      </c>
      <c r="C21" s="5" t="s">
        <v>121</v>
      </c>
      <c r="D21" s="32" t="s">
        <v>97</v>
      </c>
      <c r="E21" s="7">
        <v>1200</v>
      </c>
      <c r="F21" s="5" t="s">
        <v>94</v>
      </c>
      <c r="G21" s="5" t="s">
        <v>114</v>
      </c>
      <c r="H21" s="31">
        <v>35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</row>
    <row r="22" spans="1:68" x14ac:dyDescent="0.35">
      <c r="A22" s="5" t="str">
        <f t="shared" si="0"/>
        <v>8214</v>
      </c>
      <c r="B22" s="5" t="s">
        <v>28</v>
      </c>
      <c r="C22" s="5" t="s">
        <v>122</v>
      </c>
      <c r="D22" s="5" t="s">
        <v>86</v>
      </c>
      <c r="E22" s="7">
        <v>800</v>
      </c>
      <c r="F22" s="5" t="s">
        <v>87</v>
      </c>
      <c r="G22" s="5" t="s">
        <v>123</v>
      </c>
      <c r="H22" s="31">
        <v>40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  <row r="23" spans="1:68" x14ac:dyDescent="0.35">
      <c r="A23" s="5" t="str">
        <f t="shared" si="0"/>
        <v>8424</v>
      </c>
      <c r="B23" s="5" t="s">
        <v>42</v>
      </c>
      <c r="C23" s="5" t="s">
        <v>124</v>
      </c>
      <c r="D23" s="5" t="s">
        <v>93</v>
      </c>
      <c r="E23" s="7">
        <v>1500</v>
      </c>
      <c r="F23" s="5" t="s">
        <v>94</v>
      </c>
      <c r="G23" s="5" t="s">
        <v>123</v>
      </c>
      <c r="H23" s="31">
        <v>25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</row>
    <row r="24" spans="1:68" x14ac:dyDescent="0.35">
      <c r="A24" s="5" t="str">
        <f t="shared" si="0"/>
        <v>8418</v>
      </c>
      <c r="B24" s="5" t="s">
        <v>125</v>
      </c>
      <c r="C24" s="5" t="s">
        <v>126</v>
      </c>
      <c r="D24" s="32" t="s">
        <v>97</v>
      </c>
      <c r="E24" s="7">
        <v>1200</v>
      </c>
      <c r="F24" s="5" t="s">
        <v>94</v>
      </c>
      <c r="G24" s="5" t="s">
        <v>123</v>
      </c>
      <c r="H24" s="31">
        <v>25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</row>
    <row r="25" spans="1:68" x14ac:dyDescent="0.35">
      <c r="A25" s="5" t="str">
        <f t="shared" si="0"/>
        <v>8314</v>
      </c>
      <c r="B25" s="5" t="s">
        <v>33</v>
      </c>
      <c r="C25" s="5" t="s">
        <v>127</v>
      </c>
      <c r="D25" s="5" t="s">
        <v>86</v>
      </c>
      <c r="E25" s="7">
        <v>1000</v>
      </c>
      <c r="F25" s="32" t="s">
        <v>91</v>
      </c>
      <c r="G25" s="5" t="s">
        <v>123</v>
      </c>
      <c r="H25" s="31">
        <v>32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</row>
    <row r="26" spans="1:68" x14ac:dyDescent="0.35">
      <c r="A26" s="5" t="str">
        <f t="shared" si="0"/>
        <v>8414</v>
      </c>
      <c r="B26" s="5" t="s">
        <v>40</v>
      </c>
      <c r="C26" s="5" t="s">
        <v>128</v>
      </c>
      <c r="D26" s="5" t="s">
        <v>86</v>
      </c>
      <c r="E26" s="7">
        <v>900</v>
      </c>
      <c r="F26" s="5" t="s">
        <v>94</v>
      </c>
      <c r="G26" s="5" t="s">
        <v>123</v>
      </c>
      <c r="H26" s="31">
        <v>28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</row>
    <row r="27" spans="1:68" x14ac:dyDescent="0.3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</row>
    <row r="28" spans="1:68" x14ac:dyDescent="0.3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</row>
    <row r="29" spans="1:68" x14ac:dyDescent="0.35">
      <c r="A29" s="19"/>
      <c r="B29" s="19"/>
      <c r="C29" s="33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</row>
    <row r="30" spans="1:68" x14ac:dyDescent="0.3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</row>
    <row r="31" spans="1:68" x14ac:dyDescent="0.3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</row>
    <row r="32" spans="1:68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</row>
    <row r="33" spans="1:68" x14ac:dyDescent="0.3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</row>
    <row r="34" spans="1:68" x14ac:dyDescent="0.35">
      <c r="A34" s="49" t="s">
        <v>129</v>
      </c>
      <c r="B34" s="50"/>
      <c r="C34" s="19"/>
      <c r="D34" s="49" t="s">
        <v>130</v>
      </c>
      <c r="E34" s="50"/>
      <c r="F34" s="19"/>
      <c r="G34" s="49" t="s">
        <v>131</v>
      </c>
      <c r="H34" s="50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</row>
    <row r="35" spans="1:68" x14ac:dyDescent="0.35">
      <c r="A35" s="5" t="s">
        <v>123</v>
      </c>
      <c r="B35" s="5">
        <v>8</v>
      </c>
      <c r="C35" s="19"/>
      <c r="D35" s="5" t="s">
        <v>94</v>
      </c>
      <c r="E35" s="5">
        <v>4</v>
      </c>
      <c r="F35" s="19"/>
      <c r="G35" s="5" t="s">
        <v>86</v>
      </c>
      <c r="H35" s="5">
        <v>14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</row>
    <row r="36" spans="1:68" x14ac:dyDescent="0.35">
      <c r="A36" s="5" t="s">
        <v>114</v>
      </c>
      <c r="B36" s="5">
        <v>7</v>
      </c>
      <c r="C36" s="19"/>
      <c r="D36" s="32" t="s">
        <v>91</v>
      </c>
      <c r="E36" s="32">
        <v>3</v>
      </c>
      <c r="F36" s="19"/>
      <c r="G36" s="32" t="s">
        <v>97</v>
      </c>
      <c r="H36" s="32">
        <v>18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</row>
    <row r="37" spans="1:68" x14ac:dyDescent="0.35">
      <c r="A37" s="5" t="s">
        <v>105</v>
      </c>
      <c r="B37" s="5">
        <v>6</v>
      </c>
      <c r="C37" s="19"/>
      <c r="D37" s="5" t="s">
        <v>87</v>
      </c>
      <c r="E37" s="5">
        <v>2</v>
      </c>
      <c r="F37" s="19"/>
      <c r="G37" s="5" t="s">
        <v>93</v>
      </c>
      <c r="H37" s="5">
        <v>24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</row>
    <row r="38" spans="1:68" x14ac:dyDescent="0.35">
      <c r="A38" s="5" t="s">
        <v>88</v>
      </c>
      <c r="B38" s="5">
        <v>5</v>
      </c>
      <c r="C38" s="19"/>
      <c r="D38" s="12"/>
      <c r="E38" s="12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</row>
    <row r="39" spans="1:68" x14ac:dyDescent="0.35">
      <c r="A39" s="12"/>
      <c r="B39" s="12"/>
      <c r="C39" s="19"/>
      <c r="D39" s="12"/>
      <c r="E39" s="12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</row>
    <row r="40" spans="1:68" x14ac:dyDescent="0.35">
      <c r="A40" s="12"/>
      <c r="B40" s="12"/>
      <c r="C40" s="19"/>
      <c r="D40" s="12"/>
      <c r="E40" s="12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</row>
    <row r="41" spans="1:68" x14ac:dyDescent="0.3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</row>
    <row r="42" spans="1:68" x14ac:dyDescent="0.3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</row>
    <row r="43" spans="1:68" x14ac:dyDescent="0.3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</row>
    <row r="44" spans="1:68" x14ac:dyDescent="0.3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</row>
    <row r="45" spans="1:68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</row>
    <row r="46" spans="1:68" x14ac:dyDescent="0.3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</row>
    <row r="47" spans="1:68" x14ac:dyDescent="0.3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</row>
    <row r="48" spans="1:68" x14ac:dyDescent="0.3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</row>
    <row r="49" spans="1:64" x14ac:dyDescent="0.3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</row>
    <row r="50" spans="1:64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</row>
    <row r="51" spans="1:64" x14ac:dyDescent="0.3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</row>
    <row r="52" spans="1:64" x14ac:dyDescent="0.3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</row>
    <row r="53" spans="1:64" x14ac:dyDescent="0.3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</row>
    <row r="54" spans="1:64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</row>
    <row r="55" spans="1:64" x14ac:dyDescent="0.3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</row>
    <row r="56" spans="1:64" x14ac:dyDescent="0.3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</row>
    <row r="57" spans="1:64" x14ac:dyDescent="0.3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</row>
    <row r="58" spans="1:64" x14ac:dyDescent="0.3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</row>
    <row r="59" spans="1:64" x14ac:dyDescent="0.3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</row>
    <row r="60" spans="1:64" x14ac:dyDescent="0.3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</row>
    <row r="61" spans="1:64" x14ac:dyDescent="0.3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</row>
    <row r="62" spans="1:64" x14ac:dyDescent="0.3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</row>
    <row r="63" spans="1:64" x14ac:dyDescent="0.3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</row>
    <row r="64" spans="1:64" x14ac:dyDescent="0.3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</row>
    <row r="65" spans="1:64" x14ac:dyDescent="0.3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</row>
    <row r="66" spans="1:64" x14ac:dyDescent="0.3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</row>
    <row r="67" spans="1:64" x14ac:dyDescent="0.3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</row>
    <row r="68" spans="1:64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</row>
    <row r="69" spans="1:64" x14ac:dyDescent="0.3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</row>
    <row r="70" spans="1:64" x14ac:dyDescent="0.3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</row>
    <row r="71" spans="1:64" x14ac:dyDescent="0.3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</row>
    <row r="72" spans="1:64" x14ac:dyDescent="0.3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</row>
    <row r="73" spans="1:64" x14ac:dyDescent="0.3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</row>
    <row r="74" spans="1:64" x14ac:dyDescent="0.3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</row>
    <row r="75" spans="1:64" x14ac:dyDescent="0.3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</row>
    <row r="76" spans="1:64" x14ac:dyDescent="0.3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</row>
    <row r="77" spans="1:64" x14ac:dyDescent="0.3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</row>
    <row r="78" spans="1:64" x14ac:dyDescent="0.3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</row>
    <row r="79" spans="1:64" x14ac:dyDescent="0.3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</row>
    <row r="80" spans="1:64" x14ac:dyDescent="0.3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</row>
    <row r="81" spans="1:64" x14ac:dyDescent="0.3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</row>
    <row r="82" spans="1:64" x14ac:dyDescent="0.3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</row>
    <row r="83" spans="1:64" x14ac:dyDescent="0.3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</row>
    <row r="84" spans="1:64" x14ac:dyDescent="0.3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</row>
    <row r="85" spans="1:64" x14ac:dyDescent="0.3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</row>
    <row r="86" spans="1:64" x14ac:dyDescent="0.3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</row>
    <row r="87" spans="1:64" x14ac:dyDescent="0.3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</row>
    <row r="88" spans="1:64" x14ac:dyDescent="0.3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</row>
    <row r="89" spans="1:64" x14ac:dyDescent="0.3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</row>
    <row r="90" spans="1:64" x14ac:dyDescent="0.3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</row>
    <row r="91" spans="1:64" x14ac:dyDescent="0.3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</row>
    <row r="92" spans="1:64" x14ac:dyDescent="0.3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</row>
    <row r="93" spans="1:64" x14ac:dyDescent="0.3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</row>
    <row r="94" spans="1:64" x14ac:dyDescent="0.3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</row>
    <row r="95" spans="1:64" x14ac:dyDescent="0.3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</row>
    <row r="96" spans="1:64" x14ac:dyDescent="0.3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</row>
    <row r="97" spans="1:64" x14ac:dyDescent="0.3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</row>
    <row r="98" spans="1:64" x14ac:dyDescent="0.3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</row>
    <row r="99" spans="1:64" x14ac:dyDescent="0.3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</row>
    <row r="100" spans="1:64" x14ac:dyDescent="0.3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</row>
    <row r="101" spans="1:64" x14ac:dyDescent="0.3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</row>
    <row r="102" spans="1:64" x14ac:dyDescent="0.3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</row>
    <row r="103" spans="1:64" x14ac:dyDescent="0.3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</row>
    <row r="104" spans="1:64" x14ac:dyDescent="0.3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</row>
    <row r="105" spans="1:64" x14ac:dyDescent="0.3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</row>
    <row r="106" spans="1:64" x14ac:dyDescent="0.3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</row>
    <row r="107" spans="1:64" x14ac:dyDescent="0.3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</row>
    <row r="108" spans="1:64" x14ac:dyDescent="0.3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</row>
    <row r="109" spans="1:64" x14ac:dyDescent="0.3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</row>
    <row r="110" spans="1:64" x14ac:dyDescent="0.3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</row>
    <row r="111" spans="1:64" x14ac:dyDescent="0.3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</row>
    <row r="112" spans="1:64" x14ac:dyDescent="0.3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</row>
    <row r="113" spans="1:64" x14ac:dyDescent="0.3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</row>
    <row r="114" spans="1:64" x14ac:dyDescent="0.3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</row>
    <row r="115" spans="1:64" x14ac:dyDescent="0.3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</row>
    <row r="116" spans="1:64" x14ac:dyDescent="0.3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</row>
    <row r="117" spans="1:64" x14ac:dyDescent="0.3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</row>
    <row r="118" spans="1:64" x14ac:dyDescent="0.3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</row>
    <row r="119" spans="1:64" x14ac:dyDescent="0.3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</row>
    <row r="120" spans="1:64" x14ac:dyDescent="0.3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</row>
    <row r="121" spans="1:64" x14ac:dyDescent="0.3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</row>
    <row r="122" spans="1:64" x14ac:dyDescent="0.3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</row>
    <row r="123" spans="1:64" x14ac:dyDescent="0.3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</row>
  </sheetData>
  <mergeCells count="4">
    <mergeCell ref="A1:H1"/>
    <mergeCell ref="A34:B34"/>
    <mergeCell ref="D34:E34"/>
    <mergeCell ref="G34:H3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6DB1-1B39-4C49-82C9-EA9FA0CC49BB}">
  <dimension ref="A1:BN100"/>
  <sheetViews>
    <sheetView rightToLeft="1" tabSelected="1" zoomScale="40" zoomScaleNormal="40" workbookViewId="0">
      <selection activeCell="E40" sqref="E40:E42"/>
    </sheetView>
  </sheetViews>
  <sheetFormatPr defaultRowHeight="14.5" x14ac:dyDescent="0.35"/>
  <cols>
    <col min="1" max="1" width="9.81640625" bestFit="1" customWidth="1"/>
    <col min="2" max="2" width="10.54296875" bestFit="1" customWidth="1"/>
    <col min="3" max="3" width="12.6328125" customWidth="1"/>
    <col min="4" max="4" width="20.26953125" bestFit="1" customWidth="1"/>
    <col min="5" max="5" width="21.08984375" customWidth="1"/>
    <col min="6" max="6" width="10.6328125" bestFit="1" customWidth="1"/>
    <col min="7" max="7" width="14.81640625" bestFit="1" customWidth="1"/>
    <col min="8" max="8" width="11.7265625" bestFit="1" customWidth="1"/>
    <col min="9" max="9" width="13.1796875" customWidth="1"/>
    <col min="10" max="10" width="17.26953125" bestFit="1" customWidth="1"/>
    <col min="11" max="11" width="10.1796875" bestFit="1" customWidth="1"/>
    <col min="16" max="16" width="10.36328125" bestFit="1" customWidth="1"/>
    <col min="17" max="17" width="29.81640625" bestFit="1" customWidth="1"/>
    <col min="18" max="18" width="10.7265625" bestFit="1" customWidth="1"/>
    <col min="19" max="19" width="15.08984375" bestFit="1" customWidth="1"/>
    <col min="20" max="20" width="12.36328125" bestFit="1" customWidth="1"/>
    <col min="21" max="21" width="17.81640625" bestFit="1" customWidth="1"/>
  </cols>
  <sheetData>
    <row r="1" spans="1:66" ht="20" x14ac:dyDescent="0.35">
      <c r="A1" s="51" t="s">
        <v>132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x14ac:dyDescent="0.35">
      <c r="A2" s="2" t="s">
        <v>133</v>
      </c>
      <c r="B2" s="2" t="s">
        <v>79</v>
      </c>
      <c r="C2" s="2" t="s">
        <v>1</v>
      </c>
      <c r="D2" s="2" t="s">
        <v>134</v>
      </c>
      <c r="E2" s="2" t="s">
        <v>135</v>
      </c>
      <c r="F2" s="2" t="s">
        <v>136</v>
      </c>
      <c r="G2" s="2" t="s">
        <v>137</v>
      </c>
      <c r="H2" s="2" t="s">
        <v>138</v>
      </c>
      <c r="I2" s="2" t="s">
        <v>139</v>
      </c>
      <c r="J2" s="4" t="s">
        <v>140</v>
      </c>
      <c r="K2" s="4" t="s">
        <v>141</v>
      </c>
      <c r="L2" s="1"/>
      <c r="M2" s="1"/>
      <c r="N2" s="1"/>
      <c r="O2" s="57" t="s">
        <v>142</v>
      </c>
      <c r="P2" s="58"/>
      <c r="Q2" s="18" t="s">
        <v>143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x14ac:dyDescent="0.35">
      <c r="A3" s="20">
        <v>7777</v>
      </c>
      <c r="B3" s="5" t="s">
        <v>28</v>
      </c>
      <c r="C3" s="5" t="s">
        <v>144</v>
      </c>
      <c r="D3" s="20" t="str">
        <f t="shared" ref="D3:D18" si="0">IFERROR(VLOOKUP(MID(E3, FIND(",", E3) + 2, LEN(E3) - FIND(",", E3)), $B$23:$C$44, 2, FALSE), "Not Found")</f>
        <v>דרום</v>
      </c>
      <c r="E3" s="20" t="s">
        <v>145</v>
      </c>
      <c r="F3" s="22">
        <f t="shared" ref="F3:F18" si="1">VLOOKUP(D3, $F$22:$G$27, 2, FALSE)</f>
        <v>80</v>
      </c>
      <c r="G3" s="22">
        <f>SUM(VLOOKUP(B3, '[1]מלאי תכשיטים'!$B$3:$E$26, 4, FALSE),F3)</f>
        <v>880</v>
      </c>
      <c r="H3" s="27">
        <v>45455</v>
      </c>
      <c r="I3" s="27">
        <f t="shared" ref="I3:I18" si="2">IF(D3="צפון", DATE(YEAR(H3), MONTH(H3), DAY(H3) + $D$23),
 IF(D3="דרום", DATE(YEAR(H3), MONTH(H3), DAY(H3) + $D$40),
 IF(D3="מרכז", DATE(YEAR(H3), MONTH(H3), DAY(H3) + $D$30),
 IF(D3="שפלה", DATE(YEAR(H3), MONTH(H3), DAY(H3) + $D$36),
 IF(D3="תל אביב", DATE(YEAR(H3), MONTH(H3), DAY(H3) + $D$44),
 DATE(YEAR(H3), MONTH(H3), DAY(H3)))))))</f>
        <v>45462</v>
      </c>
      <c r="J3" s="39" t="str">
        <f t="shared" ref="J3:J18" si="3">TEXT(WEEKDAY(I3, 1),"dddd")</f>
        <v>Wednesday</v>
      </c>
      <c r="K3" s="20">
        <f t="shared" ref="K3:K18" si="4">IF(WEEKNUM(H3, 2) - WEEKNUM(DATE(YEAR(H3), MONTH(H3), 1), 2) = 0, 1, WEEKNUM(H3, 2) - WEEKNUM(DATE(YEAR(H3), MONTH(H3), 1), 2))</f>
        <v>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x14ac:dyDescent="0.35">
      <c r="A4" s="20">
        <v>5050</v>
      </c>
      <c r="B4" s="5" t="s">
        <v>16</v>
      </c>
      <c r="C4" s="5" t="s">
        <v>146</v>
      </c>
      <c r="D4" s="20" t="str">
        <f t="shared" si="0"/>
        <v>דרום</v>
      </c>
      <c r="E4" s="20" t="s">
        <v>147</v>
      </c>
      <c r="F4" s="22">
        <f t="shared" si="1"/>
        <v>80</v>
      </c>
      <c r="G4" s="22">
        <f>SUM(VLOOKUP(B4, '[1]מלאי תכשיטים'!$B$3:$E$26, 4, FALSE),F4)</f>
        <v>3380</v>
      </c>
      <c r="H4" s="27">
        <v>45458</v>
      </c>
      <c r="I4" s="27">
        <f t="shared" si="2"/>
        <v>45465</v>
      </c>
      <c r="J4" s="39" t="str">
        <f t="shared" si="3"/>
        <v>Saturday</v>
      </c>
      <c r="K4" s="20">
        <f t="shared" si="4"/>
        <v>2</v>
      </c>
      <c r="L4" s="1"/>
      <c r="M4" s="1"/>
      <c r="N4" s="1"/>
      <c r="O4" s="2" t="s">
        <v>1</v>
      </c>
      <c r="P4" s="2" t="s">
        <v>134</v>
      </c>
      <c r="Q4" s="2" t="s">
        <v>135</v>
      </c>
      <c r="R4" s="2" t="s">
        <v>136</v>
      </c>
      <c r="S4" s="2" t="s">
        <v>137</v>
      </c>
      <c r="T4" s="2" t="s">
        <v>139</v>
      </c>
      <c r="U4" s="4" t="s">
        <v>140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x14ac:dyDescent="0.35">
      <c r="A5" s="20">
        <v>4444</v>
      </c>
      <c r="B5" s="5" t="s">
        <v>28</v>
      </c>
      <c r="C5" s="5" t="s">
        <v>148</v>
      </c>
      <c r="D5" s="20" t="str">
        <f t="shared" si="0"/>
        <v>תל אביב</v>
      </c>
      <c r="E5" s="20" t="s">
        <v>149</v>
      </c>
      <c r="F5" s="22">
        <f t="shared" si="1"/>
        <v>60</v>
      </c>
      <c r="G5" s="22">
        <f>SUM(VLOOKUP(B5, '[1]מלאי תכשיטים'!$B$3:$E$26, 4, FALSE),F5)</f>
        <v>860</v>
      </c>
      <c r="H5" s="27">
        <v>45445</v>
      </c>
      <c r="I5" s="27">
        <f t="shared" si="2"/>
        <v>45447</v>
      </c>
      <c r="J5" s="39" t="str">
        <f t="shared" si="3"/>
        <v>Tuesday</v>
      </c>
      <c r="K5" s="20">
        <f t="shared" si="4"/>
        <v>1</v>
      </c>
      <c r="L5" s="1"/>
      <c r="M5" s="1"/>
      <c r="N5" s="1"/>
      <c r="O5" s="5" t="s">
        <v>150</v>
      </c>
      <c r="P5" s="20" t="s">
        <v>151</v>
      </c>
      <c r="Q5" s="20" t="s">
        <v>152</v>
      </c>
      <c r="R5" s="22">
        <v>60</v>
      </c>
      <c r="S5" s="22">
        <v>3360</v>
      </c>
      <c r="T5" s="11">
        <v>45475</v>
      </c>
      <c r="U5" s="20" t="s">
        <v>153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x14ac:dyDescent="0.35">
      <c r="A6" s="20">
        <v>4040</v>
      </c>
      <c r="B6" s="5" t="s">
        <v>49</v>
      </c>
      <c r="C6" s="5" t="s">
        <v>154</v>
      </c>
      <c r="D6" s="20" t="str">
        <f t="shared" si="0"/>
        <v>תל אביב</v>
      </c>
      <c r="E6" s="20" t="s">
        <v>155</v>
      </c>
      <c r="F6" s="22">
        <f t="shared" si="1"/>
        <v>60</v>
      </c>
      <c r="G6" s="22">
        <f>SUM(VLOOKUP(B6, '[1]מלאי תכשיטים'!$B$3:$E$26, 4, FALSE),F6)</f>
        <v>1360</v>
      </c>
      <c r="H6" s="27">
        <v>45445</v>
      </c>
      <c r="I6" s="27">
        <f t="shared" si="2"/>
        <v>45447</v>
      </c>
      <c r="J6" s="39" t="str">
        <f t="shared" si="3"/>
        <v>Tuesday</v>
      </c>
      <c r="K6" s="20">
        <f t="shared" si="4"/>
        <v>1</v>
      </c>
      <c r="L6" s="1"/>
      <c r="M6" s="1"/>
      <c r="N6" s="1"/>
      <c r="O6" s="20" t="s">
        <v>156</v>
      </c>
      <c r="P6" s="20" t="s">
        <v>151</v>
      </c>
      <c r="Q6" s="20" t="s">
        <v>157</v>
      </c>
      <c r="R6" s="22">
        <v>60</v>
      </c>
      <c r="S6" s="22">
        <v>3360</v>
      </c>
      <c r="T6" s="11">
        <v>45475</v>
      </c>
      <c r="U6" s="20" t="s">
        <v>153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x14ac:dyDescent="0.35">
      <c r="A7" s="20">
        <v>2222</v>
      </c>
      <c r="B7" s="5" t="s">
        <v>115</v>
      </c>
      <c r="C7" s="5" t="s">
        <v>158</v>
      </c>
      <c r="D7" s="20" t="str">
        <f t="shared" si="0"/>
        <v>תל אביב</v>
      </c>
      <c r="E7" s="20" t="s">
        <v>159</v>
      </c>
      <c r="F7" s="22">
        <f t="shared" si="1"/>
        <v>60</v>
      </c>
      <c r="G7" s="22">
        <f>SUM(VLOOKUP(B7, '[1]מלאי תכשיטים'!$B$3:$E$26, 4, FALSE),F7)</f>
        <v>1860</v>
      </c>
      <c r="H7" s="27">
        <v>45453</v>
      </c>
      <c r="I7" s="27">
        <f t="shared" si="2"/>
        <v>45455</v>
      </c>
      <c r="J7" s="39" t="str">
        <f t="shared" si="3"/>
        <v>Wednesday</v>
      </c>
      <c r="K7" s="20">
        <f t="shared" si="4"/>
        <v>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x14ac:dyDescent="0.35">
      <c r="A8" s="20">
        <v>3030</v>
      </c>
      <c r="B8" s="5" t="s">
        <v>53</v>
      </c>
      <c r="C8" s="5" t="s">
        <v>150</v>
      </c>
      <c r="D8" s="20" t="str">
        <f t="shared" si="0"/>
        <v>תל אביב</v>
      </c>
      <c r="E8" s="20" t="s">
        <v>152</v>
      </c>
      <c r="F8" s="22">
        <f t="shared" si="1"/>
        <v>60</v>
      </c>
      <c r="G8" s="22">
        <f>SUM(VLOOKUP(B8, '[1]מלאי תכשיטים'!$B$3:$E$26, 4, FALSE),F8)</f>
        <v>3360</v>
      </c>
      <c r="H8" s="27">
        <v>45454</v>
      </c>
      <c r="I8" s="27">
        <f t="shared" si="2"/>
        <v>45456</v>
      </c>
      <c r="J8" s="39" t="str">
        <f t="shared" si="3"/>
        <v>Thursday</v>
      </c>
      <c r="K8" s="20">
        <f t="shared" si="4"/>
        <v>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 x14ac:dyDescent="0.35">
      <c r="A9" s="20">
        <v>1010</v>
      </c>
      <c r="B9" s="20" t="s">
        <v>16</v>
      </c>
      <c r="C9" s="20" t="s">
        <v>156</v>
      </c>
      <c r="D9" s="20" t="str">
        <f t="shared" si="0"/>
        <v>תל אביב</v>
      </c>
      <c r="E9" s="20" t="s">
        <v>157</v>
      </c>
      <c r="F9" s="22">
        <f t="shared" si="1"/>
        <v>60</v>
      </c>
      <c r="G9" s="22">
        <f>SUM(VLOOKUP(B9, '[1]מלאי תכשיטים'!$B$3:$E$26, 4, FALSE),F9)</f>
        <v>3360</v>
      </c>
      <c r="H9" s="27">
        <v>45444</v>
      </c>
      <c r="I9" s="27">
        <f t="shared" si="2"/>
        <v>45446</v>
      </c>
      <c r="J9" s="39" t="str">
        <f t="shared" si="3"/>
        <v>Monday</v>
      </c>
      <c r="K9" s="20">
        <f t="shared" si="4"/>
        <v>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 x14ac:dyDescent="0.35">
      <c r="A10" s="20">
        <v>1111</v>
      </c>
      <c r="B10" s="5" t="s">
        <v>89</v>
      </c>
      <c r="C10" s="5" t="s">
        <v>160</v>
      </c>
      <c r="D10" s="20" t="str">
        <f t="shared" si="0"/>
        <v>צפון</v>
      </c>
      <c r="E10" s="20" t="s">
        <v>161</v>
      </c>
      <c r="F10" s="22">
        <f t="shared" si="1"/>
        <v>35</v>
      </c>
      <c r="G10" s="22">
        <f>SUM(VLOOKUP(B10, '[1]מלאי תכשיטים'!$B$3:$E$26, 4, FALSE),F10)</f>
        <v>3535</v>
      </c>
      <c r="H10" s="27">
        <v>45445</v>
      </c>
      <c r="I10" s="27">
        <f t="shared" si="2"/>
        <v>45448</v>
      </c>
      <c r="J10" s="39" t="str">
        <f t="shared" si="3"/>
        <v>Wednesday</v>
      </c>
      <c r="K10" s="20">
        <f t="shared" si="4"/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 x14ac:dyDescent="0.35">
      <c r="A11" s="20">
        <v>6060</v>
      </c>
      <c r="B11" s="5" t="s">
        <v>28</v>
      </c>
      <c r="C11" s="5" t="s">
        <v>162</v>
      </c>
      <c r="D11" s="20" t="str">
        <f t="shared" si="0"/>
        <v>תל אביב</v>
      </c>
      <c r="E11" s="20" t="s">
        <v>163</v>
      </c>
      <c r="F11" s="22">
        <f t="shared" si="1"/>
        <v>60</v>
      </c>
      <c r="G11" s="22">
        <f>SUM(VLOOKUP(B11, '[1]מלאי תכשיטים'!$B$3:$E$26, 4, FALSE),F11)</f>
        <v>860</v>
      </c>
      <c r="H11" s="27">
        <v>45473</v>
      </c>
      <c r="I11" s="27">
        <f t="shared" si="2"/>
        <v>45475</v>
      </c>
      <c r="J11" s="39" t="str">
        <f t="shared" si="3"/>
        <v>Tuesday</v>
      </c>
      <c r="K11" s="20">
        <f t="shared" si="4"/>
        <v>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x14ac:dyDescent="0.35">
      <c r="A12" s="20">
        <v>2020</v>
      </c>
      <c r="B12" s="5" t="s">
        <v>33</v>
      </c>
      <c r="C12" s="5" t="s">
        <v>164</v>
      </c>
      <c r="D12" s="20" t="str">
        <f t="shared" si="0"/>
        <v>צפון</v>
      </c>
      <c r="E12" s="20" t="s">
        <v>165</v>
      </c>
      <c r="F12" s="22">
        <f t="shared" si="1"/>
        <v>35</v>
      </c>
      <c r="G12" s="22">
        <f>SUM(VLOOKUP(B12, '[1]מלאי תכשיטים'!$B$3:$E$26, 4, FALSE),F12)</f>
        <v>1035</v>
      </c>
      <c r="H12" s="27">
        <v>45472</v>
      </c>
      <c r="I12" s="27">
        <f t="shared" si="2"/>
        <v>45475</v>
      </c>
      <c r="J12" s="39" t="str">
        <f t="shared" si="3"/>
        <v>Tuesday</v>
      </c>
      <c r="K12" s="20">
        <f t="shared" si="4"/>
        <v>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 x14ac:dyDescent="0.35">
      <c r="A13" s="20">
        <v>6666</v>
      </c>
      <c r="B13" s="5" t="s">
        <v>31</v>
      </c>
      <c r="C13" s="5" t="s">
        <v>166</v>
      </c>
      <c r="D13" s="20" t="str">
        <f t="shared" si="0"/>
        <v>צפון</v>
      </c>
      <c r="E13" s="20" t="s">
        <v>167</v>
      </c>
      <c r="F13" s="22">
        <f t="shared" si="1"/>
        <v>35</v>
      </c>
      <c r="G13" s="22">
        <f>SUM(VLOOKUP(B13, '[1]מלאי תכשיטים'!$B$3:$E$26, 4, FALSE),F13)</f>
        <v>1535</v>
      </c>
      <c r="H13" s="27">
        <v>45470</v>
      </c>
      <c r="I13" s="27">
        <f t="shared" si="2"/>
        <v>45473</v>
      </c>
      <c r="J13" s="39" t="str">
        <f t="shared" si="3"/>
        <v>Sunday</v>
      </c>
      <c r="K13" s="20">
        <f t="shared" si="4"/>
        <v>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1:66" x14ac:dyDescent="0.35">
      <c r="A14" s="20">
        <v>7070</v>
      </c>
      <c r="B14" s="5" t="s">
        <v>25</v>
      </c>
      <c r="C14" s="5" t="s">
        <v>168</v>
      </c>
      <c r="D14" s="20" t="str">
        <f t="shared" si="0"/>
        <v>צפון</v>
      </c>
      <c r="E14" s="20" t="s">
        <v>169</v>
      </c>
      <c r="F14" s="22">
        <f t="shared" si="1"/>
        <v>35</v>
      </c>
      <c r="G14" s="22">
        <f>SUM(VLOOKUP(B14, '[1]מלאי תכשיטים'!$B$3:$E$26, 4, FALSE),F14)</f>
        <v>2835</v>
      </c>
      <c r="H14" s="27">
        <v>45473</v>
      </c>
      <c r="I14" s="27">
        <f t="shared" si="2"/>
        <v>45476</v>
      </c>
      <c r="J14" s="39" t="str">
        <f t="shared" si="3"/>
        <v>Wednesday</v>
      </c>
      <c r="K14" s="20">
        <f t="shared" si="4"/>
        <v>4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1:66" x14ac:dyDescent="0.35">
      <c r="A15" s="20">
        <v>8080</v>
      </c>
      <c r="B15" s="5" t="s">
        <v>125</v>
      </c>
      <c r="C15" s="5" t="s">
        <v>170</v>
      </c>
      <c r="D15" s="20" t="str">
        <f t="shared" si="0"/>
        <v>מרכז</v>
      </c>
      <c r="E15" s="20" t="s">
        <v>171</v>
      </c>
      <c r="F15" s="22">
        <f t="shared" si="1"/>
        <v>50</v>
      </c>
      <c r="G15" s="22">
        <f>SUM(VLOOKUP(B15, '[1]מלאי תכשיטים'!$B$3:$E$26, 4, FALSE),F15)</f>
        <v>1250</v>
      </c>
      <c r="H15" s="27">
        <v>45468</v>
      </c>
      <c r="I15" s="27">
        <f t="shared" si="2"/>
        <v>45473</v>
      </c>
      <c r="J15" s="39" t="str">
        <f t="shared" si="3"/>
        <v>Sunday</v>
      </c>
      <c r="K15" s="20">
        <f t="shared" si="4"/>
        <v>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x14ac:dyDescent="0.35">
      <c r="A16" s="20">
        <v>9090</v>
      </c>
      <c r="B16" s="5" t="s">
        <v>98</v>
      </c>
      <c r="C16" s="5" t="s">
        <v>172</v>
      </c>
      <c r="D16" s="20" t="str">
        <f t="shared" si="0"/>
        <v>מרכז</v>
      </c>
      <c r="E16" s="20" t="s">
        <v>173</v>
      </c>
      <c r="F16" s="22">
        <f t="shared" si="1"/>
        <v>50</v>
      </c>
      <c r="G16" s="22">
        <f>SUM(VLOOKUP(B16, '[1]מלאי תכשיטים'!$B$3:$E$26, 4, FALSE),F16)</f>
        <v>3450</v>
      </c>
      <c r="H16" s="27">
        <v>45463</v>
      </c>
      <c r="I16" s="27">
        <f t="shared" si="2"/>
        <v>45468</v>
      </c>
      <c r="J16" s="39" t="str">
        <f t="shared" si="3"/>
        <v>Tuesday</v>
      </c>
      <c r="K16" s="20">
        <f t="shared" si="4"/>
        <v>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1:66" x14ac:dyDescent="0.35">
      <c r="A17" s="20">
        <v>5555</v>
      </c>
      <c r="B17" s="5" t="s">
        <v>49</v>
      </c>
      <c r="C17" s="5" t="s">
        <v>174</v>
      </c>
      <c r="D17" s="20" t="str">
        <f t="shared" si="0"/>
        <v>שפלה</v>
      </c>
      <c r="E17" s="20" t="s">
        <v>175</v>
      </c>
      <c r="F17" s="22">
        <f t="shared" si="1"/>
        <v>65</v>
      </c>
      <c r="G17" s="22">
        <f>SUM(VLOOKUP(B17, '[1]מלאי תכשיטים'!$B$3:$E$26, 4, FALSE),F17)</f>
        <v>1365</v>
      </c>
      <c r="H17" s="27">
        <v>45462</v>
      </c>
      <c r="I17" s="27">
        <f t="shared" si="2"/>
        <v>45468</v>
      </c>
      <c r="J17" s="39" t="str">
        <f t="shared" si="3"/>
        <v>Tuesday</v>
      </c>
      <c r="K17" s="20">
        <f t="shared" si="4"/>
        <v>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 x14ac:dyDescent="0.35">
      <c r="A18" s="20">
        <v>3333</v>
      </c>
      <c r="B18" s="5" t="s">
        <v>100</v>
      </c>
      <c r="C18" s="5" t="s">
        <v>176</v>
      </c>
      <c r="D18" s="20" t="str">
        <f t="shared" si="0"/>
        <v>שפלה</v>
      </c>
      <c r="E18" s="20" t="s">
        <v>177</v>
      </c>
      <c r="F18" s="22">
        <f t="shared" si="1"/>
        <v>65</v>
      </c>
      <c r="G18" s="22">
        <f>SUM(VLOOKUP(B18, '[1]מלאי תכשיטים'!$B$3:$E$26, 4, FALSE),F18)</f>
        <v>3065</v>
      </c>
      <c r="H18" s="27">
        <v>45471</v>
      </c>
      <c r="I18" s="27">
        <f t="shared" si="2"/>
        <v>45477</v>
      </c>
      <c r="J18" s="39" t="str">
        <f t="shared" si="3"/>
        <v>Thursday</v>
      </c>
      <c r="K18" s="20">
        <f t="shared" si="4"/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x14ac:dyDescent="0.35">
      <c r="A22" s="1"/>
      <c r="B22" s="49" t="s">
        <v>178</v>
      </c>
      <c r="C22" s="50"/>
      <c r="D22" s="4" t="s">
        <v>179</v>
      </c>
      <c r="E22" s="1"/>
      <c r="F22" s="59" t="s">
        <v>180</v>
      </c>
      <c r="G22" s="5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x14ac:dyDescent="0.35">
      <c r="A23" s="1"/>
      <c r="B23" s="20" t="s">
        <v>181</v>
      </c>
      <c r="C23" s="20" t="s">
        <v>182</v>
      </c>
      <c r="D23" s="54">
        <v>3</v>
      </c>
      <c r="E23" s="1"/>
      <c r="F23" s="20" t="s">
        <v>151</v>
      </c>
      <c r="G23" s="22">
        <v>60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x14ac:dyDescent="0.35">
      <c r="A24" s="1"/>
      <c r="B24" s="20" t="s">
        <v>183</v>
      </c>
      <c r="C24" s="20" t="s">
        <v>182</v>
      </c>
      <c r="D24" s="54"/>
      <c r="E24" s="1"/>
      <c r="F24" s="20" t="s">
        <v>184</v>
      </c>
      <c r="G24" s="22">
        <v>80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x14ac:dyDescent="0.35">
      <c r="A25" s="1"/>
      <c r="B25" s="20" t="s">
        <v>185</v>
      </c>
      <c r="C25" s="20" t="s">
        <v>182</v>
      </c>
      <c r="D25" s="54"/>
      <c r="E25" s="1"/>
      <c r="F25" s="20" t="s">
        <v>182</v>
      </c>
      <c r="G25" s="22">
        <v>35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x14ac:dyDescent="0.35">
      <c r="A26" s="1"/>
      <c r="B26" s="20" t="s">
        <v>186</v>
      </c>
      <c r="C26" s="20" t="s">
        <v>182</v>
      </c>
      <c r="D26" s="54"/>
      <c r="E26" s="1"/>
      <c r="F26" s="20" t="s">
        <v>187</v>
      </c>
      <c r="G26" s="22">
        <v>65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 x14ac:dyDescent="0.35">
      <c r="A27" s="1"/>
      <c r="B27" s="20" t="s">
        <v>188</v>
      </c>
      <c r="C27" s="20" t="s">
        <v>182</v>
      </c>
      <c r="D27" s="54"/>
      <c r="E27" s="1"/>
      <c r="F27" s="20" t="s">
        <v>189</v>
      </c>
      <c r="G27" s="22">
        <v>50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 x14ac:dyDescent="0.35">
      <c r="A28" s="1"/>
      <c r="B28" s="20" t="s">
        <v>190</v>
      </c>
      <c r="C28" s="20" t="s">
        <v>182</v>
      </c>
      <c r="D28" s="5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1:66" x14ac:dyDescent="0.35">
      <c r="A29" s="1"/>
      <c r="B29" s="20" t="s">
        <v>191</v>
      </c>
      <c r="C29" s="20" t="s">
        <v>182</v>
      </c>
      <c r="D29" s="5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1:66" x14ac:dyDescent="0.35">
      <c r="A30" s="1"/>
      <c r="B30" s="20" t="s">
        <v>192</v>
      </c>
      <c r="C30" s="20" t="s">
        <v>189</v>
      </c>
      <c r="D30" s="54">
        <v>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1:66" x14ac:dyDescent="0.35">
      <c r="A31" s="1"/>
      <c r="B31" s="20" t="s">
        <v>193</v>
      </c>
      <c r="C31" s="20" t="s">
        <v>189</v>
      </c>
      <c r="D31" s="5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1:66" x14ac:dyDescent="0.35">
      <c r="A32" s="1"/>
      <c r="B32" s="20" t="s">
        <v>194</v>
      </c>
      <c r="C32" s="20" t="s">
        <v>189</v>
      </c>
      <c r="D32" s="54"/>
      <c r="E32" s="1"/>
      <c r="F32" s="19"/>
      <c r="G32" s="1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1:66" x14ac:dyDescent="0.35">
      <c r="A33" s="1"/>
      <c r="B33" s="20" t="s">
        <v>195</v>
      </c>
      <c r="C33" s="20" t="s">
        <v>189</v>
      </c>
      <c r="D33" s="54"/>
      <c r="E33" s="1"/>
      <c r="F33" s="19"/>
      <c r="G33" s="1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1:66" x14ac:dyDescent="0.35">
      <c r="A34" s="1"/>
      <c r="B34" s="20" t="s">
        <v>196</v>
      </c>
      <c r="C34" s="20" t="s">
        <v>189</v>
      </c>
      <c r="D34" s="5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 x14ac:dyDescent="0.35">
      <c r="A35" s="1"/>
      <c r="B35" s="20" t="s">
        <v>197</v>
      </c>
      <c r="C35" s="20" t="s">
        <v>189</v>
      </c>
      <c r="D35" s="5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 x14ac:dyDescent="0.35">
      <c r="A36" s="1"/>
      <c r="B36" s="20" t="s">
        <v>198</v>
      </c>
      <c r="C36" s="20" t="s">
        <v>187</v>
      </c>
      <c r="D36" s="54">
        <v>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 x14ac:dyDescent="0.35">
      <c r="A37" s="1"/>
      <c r="B37" s="20" t="s">
        <v>199</v>
      </c>
      <c r="C37" s="20" t="s">
        <v>187</v>
      </c>
      <c r="D37" s="5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 x14ac:dyDescent="0.35">
      <c r="A38" s="1"/>
      <c r="B38" s="20" t="s">
        <v>200</v>
      </c>
      <c r="C38" s="20" t="s">
        <v>187</v>
      </c>
      <c r="D38" s="5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1:66" x14ac:dyDescent="0.35">
      <c r="A39" s="1"/>
      <c r="B39" s="20" t="s">
        <v>201</v>
      </c>
      <c r="C39" s="20" t="s">
        <v>187</v>
      </c>
      <c r="D39" s="54"/>
      <c r="E39" s="1"/>
      <c r="F39" s="1"/>
      <c r="G39" s="34" t="s">
        <v>202</v>
      </c>
      <c r="H39" s="34">
        <f ca="1">EOMONTH(TODAY(), 0)</f>
        <v>45991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1:66" x14ac:dyDescent="0.35">
      <c r="A40" s="1"/>
      <c r="B40" s="20" t="s">
        <v>203</v>
      </c>
      <c r="C40" s="20" t="s">
        <v>184</v>
      </c>
      <c r="D40" s="54">
        <v>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1:66" x14ac:dyDescent="0.35">
      <c r="A41" s="1"/>
      <c r="B41" s="20" t="s">
        <v>204</v>
      </c>
      <c r="C41" s="20" t="s">
        <v>184</v>
      </c>
      <c r="D41" s="5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1:66" x14ac:dyDescent="0.35">
      <c r="A42" s="1"/>
      <c r="B42" s="20" t="s">
        <v>205</v>
      </c>
      <c r="C42" s="20" t="s">
        <v>184</v>
      </c>
      <c r="D42" s="5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1:66" x14ac:dyDescent="0.35">
      <c r="A43" s="1"/>
      <c r="B43" s="20" t="s">
        <v>206</v>
      </c>
      <c r="C43" s="20" t="s">
        <v>184</v>
      </c>
      <c r="D43" s="5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1:66" x14ac:dyDescent="0.35">
      <c r="A44" s="1"/>
      <c r="B44" s="20" t="s">
        <v>151</v>
      </c>
      <c r="C44" s="20" t="s">
        <v>151</v>
      </c>
      <c r="D44" s="20">
        <v>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1:6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1:6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1:6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1:66" x14ac:dyDescent="0.35">
      <c r="A48" s="1"/>
      <c r="B48" s="3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66" x14ac:dyDescent="0.35">
      <c r="A49" s="1"/>
      <c r="B49" s="36"/>
      <c r="C49" s="37"/>
      <c r="D49" s="3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1:66" x14ac:dyDescent="0.35">
      <c r="A50" s="1"/>
      <c r="B50" s="55" t="s">
        <v>207</v>
      </c>
      <c r="C50" s="5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1:66" x14ac:dyDescent="0.35">
      <c r="A51" s="1"/>
      <c r="B51" s="23" t="s">
        <v>59</v>
      </c>
      <c r="C51" s="24">
        <f>SUBTOTAL(1,G3:G18)</f>
        <v>2124.375</v>
      </c>
      <c r="D51" s="53" t="s">
        <v>208</v>
      </c>
      <c r="E51" s="53"/>
      <c r="F51" s="1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1:66" x14ac:dyDescent="0.35">
      <c r="A52" s="1"/>
      <c r="B52" s="20" t="s">
        <v>70</v>
      </c>
      <c r="C52" s="22">
        <f>SUBTOTAL(5,G3:G18)</f>
        <v>860</v>
      </c>
      <c r="D52" s="53" t="s">
        <v>209</v>
      </c>
      <c r="E52" s="53"/>
      <c r="F52" s="1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 x14ac:dyDescent="0.35">
      <c r="A53" s="1"/>
      <c r="B53" s="20" t="s">
        <v>72</v>
      </c>
      <c r="C53" s="22">
        <f>SUBTOTAL(4,G3:G18)</f>
        <v>3535</v>
      </c>
      <c r="D53" s="53" t="s">
        <v>210</v>
      </c>
      <c r="E53" s="53"/>
      <c r="F53" s="1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x14ac:dyDescent="0.35">
      <c r="A54" s="1"/>
      <c r="B54" s="20" t="s">
        <v>63</v>
      </c>
      <c r="C54" s="20">
        <f>SUBTOTAL(2,G3:G18)</f>
        <v>16</v>
      </c>
      <c r="D54" s="53" t="s">
        <v>211</v>
      </c>
      <c r="E54" s="53"/>
      <c r="F54" s="1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1:66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1:66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1:66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1:66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1:66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1:66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1:66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1:6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1:66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1:66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1:66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1:66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1:66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1:66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1:66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1:66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1:66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1:66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1:66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1:66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1:66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1:66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1:66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1:66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1:66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1:66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1:66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1:66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1:66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1:66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1:66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1:66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spans="1:66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  <row r="97" spans="1:66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</row>
    <row r="98" spans="1:66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spans="1:66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</row>
    <row r="100" spans="1:66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</row>
  </sheetData>
  <mergeCells count="13">
    <mergeCell ref="D30:D35"/>
    <mergeCell ref="A1:K1"/>
    <mergeCell ref="O2:P2"/>
    <mergeCell ref="B22:C22"/>
    <mergeCell ref="F22:G22"/>
    <mergeCell ref="D23:D29"/>
    <mergeCell ref="D54:E54"/>
    <mergeCell ref="D36:D39"/>
    <mergeCell ref="D40:D43"/>
    <mergeCell ref="B50:C50"/>
    <mergeCell ref="D51:E51"/>
    <mergeCell ref="D52:E52"/>
    <mergeCell ref="D53:E5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C9FE-16E8-454A-BE0A-2062CDDC0386}">
  <dimension ref="A1:AF185"/>
  <sheetViews>
    <sheetView rightToLeft="1" topLeftCell="A4" zoomScale="55" zoomScaleNormal="55" workbookViewId="0">
      <selection activeCell="C4" sqref="C4"/>
    </sheetView>
  </sheetViews>
  <sheetFormatPr defaultRowHeight="14.5" x14ac:dyDescent="0.35"/>
  <cols>
    <col min="1" max="1" width="26.54296875" bestFit="1" customWidth="1"/>
    <col min="2" max="2" width="21.453125" customWidth="1"/>
  </cols>
  <sheetData>
    <row r="1" spans="1:32" x14ac:dyDescent="0.35">
      <c r="A1" s="57" t="s">
        <v>213</v>
      </c>
      <c r="B1" s="5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5">
      <c r="A2" s="45" t="s">
        <v>214</v>
      </c>
      <c r="B2" s="25" t="s">
        <v>215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s="40" t="s">
        <v>49</v>
      </c>
      <c r="B3">
        <v>2725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35">
      <c r="A4" s="41" t="s">
        <v>174</v>
      </c>
      <c r="B4">
        <v>1365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35">
      <c r="A5" s="42" t="s">
        <v>187</v>
      </c>
      <c r="B5">
        <v>1365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35">
      <c r="A6" s="43" t="s">
        <v>175</v>
      </c>
      <c r="B6">
        <v>1365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5">
      <c r="A7" s="44">
        <v>45479</v>
      </c>
      <c r="B7">
        <v>1365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5">
      <c r="A8" s="41" t="s">
        <v>154</v>
      </c>
      <c r="B8">
        <v>1360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5">
      <c r="A9" s="42" t="s">
        <v>151</v>
      </c>
      <c r="B9">
        <v>1360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5">
      <c r="A10" s="43" t="s">
        <v>155</v>
      </c>
      <c r="B10">
        <v>1360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5">
      <c r="A11" s="44">
        <v>45475</v>
      </c>
      <c r="B11">
        <v>1360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5">
      <c r="A12" s="40" t="s">
        <v>31</v>
      </c>
      <c r="B12">
        <v>1535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5">
      <c r="A13" s="41" t="s">
        <v>166</v>
      </c>
      <c r="B13">
        <v>1535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5">
      <c r="A14" s="42" t="s">
        <v>182</v>
      </c>
      <c r="B14">
        <v>1535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5">
      <c r="A15" s="43" t="s">
        <v>167</v>
      </c>
      <c r="B15">
        <v>1535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5">
      <c r="A16" s="44">
        <v>45476</v>
      </c>
      <c r="B16">
        <v>1535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5">
      <c r="A17" s="40" t="s">
        <v>115</v>
      </c>
      <c r="B17">
        <v>1860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5">
      <c r="A18" s="41" t="s">
        <v>158</v>
      </c>
      <c r="B18">
        <v>1860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5">
      <c r="A19" s="42" t="s">
        <v>151</v>
      </c>
      <c r="B19">
        <v>1860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5">
      <c r="A20" s="43" t="s">
        <v>159</v>
      </c>
      <c r="B20">
        <v>1860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5">
      <c r="A21" s="44">
        <v>45475</v>
      </c>
      <c r="B21">
        <v>1860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5">
      <c r="A22" s="40" t="s">
        <v>16</v>
      </c>
      <c r="B22">
        <v>6740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5">
      <c r="A23" s="41" t="s">
        <v>156</v>
      </c>
      <c r="B23">
        <v>3360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5">
      <c r="A24" s="42" t="s">
        <v>151</v>
      </c>
      <c r="B24">
        <v>3360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5">
      <c r="A25" s="43" t="s">
        <v>157</v>
      </c>
      <c r="B25">
        <v>3360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5">
      <c r="A26" s="44">
        <v>45475</v>
      </c>
      <c r="B26">
        <v>3360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35">
      <c r="A27" s="41" t="s">
        <v>146</v>
      </c>
      <c r="B27">
        <v>3380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35">
      <c r="A28" s="42" t="s">
        <v>184</v>
      </c>
      <c r="B28">
        <v>3380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35">
      <c r="A29" s="43" t="s">
        <v>147</v>
      </c>
      <c r="B29">
        <v>3380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35">
      <c r="A30" s="44">
        <v>45480</v>
      </c>
      <c r="B30">
        <v>3380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35">
      <c r="A31" s="40" t="s">
        <v>98</v>
      </c>
      <c r="B31">
        <v>3450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35">
      <c r="A32" s="41" t="s">
        <v>172</v>
      </c>
      <c r="B32">
        <v>3450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35">
      <c r="A33" s="42" t="s">
        <v>189</v>
      </c>
      <c r="B33">
        <v>3450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35">
      <c r="A34" s="43" t="s">
        <v>173</v>
      </c>
      <c r="B34">
        <v>3450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35">
      <c r="A35" s="44">
        <v>45478</v>
      </c>
      <c r="B35">
        <v>3450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35">
      <c r="A36" s="40" t="s">
        <v>89</v>
      </c>
      <c r="B36">
        <v>3535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35">
      <c r="A37" s="41" t="s">
        <v>160</v>
      </c>
      <c r="B37">
        <v>3535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35">
      <c r="A38" s="42" t="s">
        <v>182</v>
      </c>
      <c r="B38">
        <v>3535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35">
      <c r="A39" s="43" t="s">
        <v>161</v>
      </c>
      <c r="B39">
        <v>3535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35">
      <c r="A40" s="44">
        <v>45476</v>
      </c>
      <c r="B40">
        <v>3535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35">
      <c r="A41" s="40" t="s">
        <v>100</v>
      </c>
      <c r="B41">
        <v>3065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35">
      <c r="A42" s="41" t="s">
        <v>176</v>
      </c>
      <c r="B42">
        <v>3065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35">
      <c r="A43" s="42" t="s">
        <v>187</v>
      </c>
      <c r="B43">
        <v>3065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35">
      <c r="A44" s="43" t="s">
        <v>177</v>
      </c>
      <c r="B44">
        <v>3065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35">
      <c r="A45" s="44">
        <v>45479</v>
      </c>
      <c r="B45">
        <v>3065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35">
      <c r="A46" s="40" t="s">
        <v>28</v>
      </c>
      <c r="B46">
        <v>2600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35">
      <c r="A47" s="41" t="s">
        <v>148</v>
      </c>
      <c r="B47">
        <v>860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35">
      <c r="A48" s="42" t="s">
        <v>151</v>
      </c>
      <c r="B48">
        <v>860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35">
      <c r="A49" s="43" t="s">
        <v>149</v>
      </c>
      <c r="B49">
        <v>860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35">
      <c r="A50" s="44">
        <v>45475</v>
      </c>
      <c r="B50">
        <v>860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35">
      <c r="A51" s="41" t="s">
        <v>162</v>
      </c>
      <c r="B51">
        <v>860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35">
      <c r="A52" s="42" t="s">
        <v>151</v>
      </c>
      <c r="B52">
        <v>860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35">
      <c r="A53" s="43" t="s">
        <v>163</v>
      </c>
      <c r="B53">
        <v>860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35">
      <c r="A54" s="44">
        <v>45475</v>
      </c>
      <c r="B54">
        <v>860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35">
      <c r="A55" s="41" t="s">
        <v>144</v>
      </c>
      <c r="B55">
        <v>880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35">
      <c r="A56" s="42" t="s">
        <v>184</v>
      </c>
      <c r="B56">
        <v>880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35">
      <c r="A57" s="43" t="s">
        <v>145</v>
      </c>
      <c r="B57">
        <v>880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35">
      <c r="A58" s="44">
        <v>45480</v>
      </c>
      <c r="B58">
        <v>880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35">
      <c r="A59" s="40" t="s">
        <v>33</v>
      </c>
      <c r="B59">
        <v>1035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35">
      <c r="A60" s="41" t="s">
        <v>164</v>
      </c>
      <c r="B60">
        <v>1035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35">
      <c r="A61" s="42" t="s">
        <v>182</v>
      </c>
      <c r="B61">
        <v>1035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35">
      <c r="A62" s="43" t="s">
        <v>165</v>
      </c>
      <c r="B62">
        <v>1035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35">
      <c r="A63" s="44">
        <v>45476</v>
      </c>
      <c r="B63">
        <v>1035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5">
      <c r="A64" s="40" t="s">
        <v>125</v>
      </c>
      <c r="B64">
        <v>1250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5">
      <c r="A65" s="41" t="s">
        <v>170</v>
      </c>
      <c r="B65">
        <v>1250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5">
      <c r="A66" s="42" t="s">
        <v>189</v>
      </c>
      <c r="B66">
        <v>1250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35">
      <c r="A67" s="43" t="s">
        <v>171</v>
      </c>
      <c r="B67">
        <v>1250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35">
      <c r="A68" s="44">
        <v>45478</v>
      </c>
      <c r="B68">
        <v>1250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35">
      <c r="A69" s="40" t="s">
        <v>53</v>
      </c>
      <c r="B69">
        <v>3360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x14ac:dyDescent="0.35">
      <c r="A70" s="41" t="s">
        <v>150</v>
      </c>
      <c r="B70">
        <v>3360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35">
      <c r="A71" s="42" t="s">
        <v>151</v>
      </c>
      <c r="B71">
        <v>3360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35">
      <c r="A72" s="43" t="s">
        <v>152</v>
      </c>
      <c r="B72">
        <v>3360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35">
      <c r="A73" s="44">
        <v>45475</v>
      </c>
      <c r="B73">
        <v>3360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35">
      <c r="A74" s="40" t="s">
        <v>25</v>
      </c>
      <c r="B74">
        <v>2835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35">
      <c r="A75" s="41" t="s">
        <v>168</v>
      </c>
      <c r="B75">
        <v>2835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35">
      <c r="A76" s="42" t="s">
        <v>182</v>
      </c>
      <c r="B76">
        <v>2835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35">
      <c r="A77" s="43" t="s">
        <v>169</v>
      </c>
      <c r="B77">
        <v>2835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x14ac:dyDescent="0.35">
      <c r="A78" s="44">
        <v>45476</v>
      </c>
      <c r="B78">
        <v>2835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35">
      <c r="A79" s="40" t="s">
        <v>76</v>
      </c>
      <c r="B79">
        <v>33990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x14ac:dyDescent="0.35">
      <c r="A185" s="1"/>
      <c r="B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הזמנות</vt:lpstr>
      <vt:lpstr>מלאי תכשיטים</vt:lpstr>
      <vt:lpstr>משלוחים חודש יוני</vt:lpstr>
      <vt:lpstr>טבלת ציר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 shalom</dc:creator>
  <cp:lastModifiedBy>Gal Shalom</cp:lastModifiedBy>
  <dcterms:created xsi:type="dcterms:W3CDTF">2024-07-17T05:15:06Z</dcterms:created>
  <dcterms:modified xsi:type="dcterms:W3CDTF">2025-11-25T11:24:55Z</dcterms:modified>
</cp:coreProperties>
</file>